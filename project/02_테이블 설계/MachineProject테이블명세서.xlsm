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2019\SecondSemester\AIclass\project\02_테이블 설계\"/>
    </mc:Choice>
  </mc:AlternateContent>
  <xr:revisionPtr revIDLastSave="0" documentId="13_ncr:1_{878E602F-C573-47E0-82E4-9A81280E850F}" xr6:coauthVersionLast="45" xr6:coauthVersionMax="45" xr10:uidLastSave="{00000000-0000-0000-0000-000000000000}"/>
  <bookViews>
    <workbookView xWindow="756" yWindow="1416" windowWidth="20232" windowHeight="10476" activeTab="2" xr2:uid="{00000000-000D-0000-FFFF-FFFF00000000}"/>
  </bookViews>
  <sheets>
    <sheet name="machine" sheetId="1" r:id="rId1"/>
    <sheet name="employee" sheetId="2" r:id="rId2"/>
    <sheet name="Production" sheetId="6" r:id="rId3"/>
    <sheet name="Todo" sheetId="4" r:id="rId4"/>
    <sheet name="ProductionList" sheetId="3" r:id="rId5"/>
    <sheet name="ProductionListByMachine" sheetId="8" r:id="rId6"/>
    <sheet name="ProductionPlan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0" l="1"/>
  <c r="N45" i="10" s="1"/>
  <c r="B47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F4" i="8"/>
  <c r="U32" i="8" s="1"/>
  <c r="B47" i="8"/>
  <c r="B47" i="6"/>
  <c r="N46" i="6"/>
  <c r="N45" i="6"/>
  <c r="N44" i="6"/>
  <c r="N43" i="6"/>
  <c r="U35" i="6"/>
  <c r="N35" i="6"/>
  <c r="U34" i="6"/>
  <c r="N34" i="6"/>
  <c r="U33" i="6"/>
  <c r="N33" i="6"/>
  <c r="U32" i="6"/>
  <c r="N32" i="6"/>
  <c r="U31" i="6"/>
  <c r="N31" i="6"/>
  <c r="U30" i="6"/>
  <c r="N30" i="6"/>
  <c r="U29" i="6"/>
  <c r="N29" i="6"/>
  <c r="U28" i="6"/>
  <c r="N28" i="6"/>
  <c r="U27" i="6"/>
  <c r="N27" i="6"/>
  <c r="U26" i="6"/>
  <c r="N26" i="6"/>
  <c r="U25" i="6"/>
  <c r="N25" i="6"/>
  <c r="U24" i="6"/>
  <c r="N24" i="6"/>
  <c r="U23" i="6"/>
  <c r="N23" i="6"/>
  <c r="U22" i="6"/>
  <c r="N22" i="6"/>
  <c r="U21" i="6"/>
  <c r="N21" i="6"/>
  <c r="U20" i="6"/>
  <c r="N20" i="6"/>
  <c r="U19" i="6"/>
  <c r="N19" i="6"/>
  <c r="U18" i="6"/>
  <c r="N18" i="6"/>
  <c r="U17" i="6"/>
  <c r="N17" i="6"/>
  <c r="U16" i="6"/>
  <c r="N16" i="6"/>
  <c r="U15" i="6"/>
  <c r="N15" i="6"/>
  <c r="U14" i="6"/>
  <c r="N14" i="6"/>
  <c r="U13" i="6"/>
  <c r="N13" i="6"/>
  <c r="U12" i="6"/>
  <c r="N12" i="6"/>
  <c r="U11" i="6"/>
  <c r="N11" i="6"/>
  <c r="U10" i="6"/>
  <c r="N10" i="6"/>
  <c r="U9" i="6"/>
  <c r="N9" i="6"/>
  <c r="U8" i="6"/>
  <c r="N8" i="6"/>
  <c r="U7" i="6"/>
  <c r="N7" i="6"/>
  <c r="U6" i="6"/>
  <c r="N6" i="6"/>
  <c r="N3" i="6"/>
  <c r="N7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6" i="4"/>
  <c r="B47" i="4"/>
  <c r="N46" i="4"/>
  <c r="N45" i="4"/>
  <c r="N44" i="4"/>
  <c r="N43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N3" i="4"/>
  <c r="U32" i="10" l="1"/>
  <c r="U20" i="10"/>
  <c r="U8" i="10"/>
  <c r="U16" i="10"/>
  <c r="N44" i="10"/>
  <c r="N46" i="10"/>
  <c r="U24" i="10"/>
  <c r="N6" i="10"/>
  <c r="U12" i="10"/>
  <c r="U28" i="10"/>
  <c r="N3" i="10"/>
  <c r="U6" i="10"/>
  <c r="U10" i="10"/>
  <c r="U14" i="10"/>
  <c r="U18" i="10"/>
  <c r="U22" i="10"/>
  <c r="U26" i="10"/>
  <c r="U30" i="10"/>
  <c r="U34" i="10"/>
  <c r="U7" i="10"/>
  <c r="U11" i="10"/>
  <c r="U15" i="10"/>
  <c r="U19" i="10"/>
  <c r="U23" i="10"/>
  <c r="U27" i="10"/>
  <c r="U31" i="10"/>
  <c r="U35" i="10"/>
  <c r="N43" i="10"/>
  <c r="U9" i="10"/>
  <c r="U13" i="10"/>
  <c r="U17" i="10"/>
  <c r="U21" i="10"/>
  <c r="U25" i="10"/>
  <c r="U29" i="10"/>
  <c r="U33" i="10"/>
  <c r="N3" i="8"/>
  <c r="U34" i="8"/>
  <c r="U9" i="8"/>
  <c r="U13" i="8"/>
  <c r="U17" i="8"/>
  <c r="U21" i="8"/>
  <c r="U25" i="8"/>
  <c r="U29" i="8"/>
  <c r="U6" i="8"/>
  <c r="U10" i="8"/>
  <c r="U14" i="8"/>
  <c r="U18" i="8"/>
  <c r="U22" i="8"/>
  <c r="U26" i="8"/>
  <c r="U30" i="8"/>
  <c r="U15" i="8"/>
  <c r="N43" i="8"/>
  <c r="N44" i="8"/>
  <c r="U35" i="8"/>
  <c r="U7" i="8"/>
  <c r="U11" i="8"/>
  <c r="U19" i="8"/>
  <c r="U23" i="8"/>
  <c r="U27" i="8"/>
  <c r="U31" i="8"/>
  <c r="U8" i="8"/>
  <c r="U12" i="8"/>
  <c r="U16" i="8"/>
  <c r="U20" i="8"/>
  <c r="U24" i="8"/>
  <c r="U28" i="8"/>
  <c r="N45" i="8"/>
  <c r="U33" i="8"/>
  <c r="N46" i="8"/>
  <c r="N12" i="2"/>
  <c r="N7" i="3" l="1"/>
  <c r="N12" i="3"/>
  <c r="B47" i="3"/>
  <c r="N46" i="3"/>
  <c r="N45" i="3"/>
  <c r="N44" i="3"/>
  <c r="N43" i="3"/>
  <c r="U35" i="3"/>
  <c r="N35" i="3"/>
  <c r="U34" i="3"/>
  <c r="N34" i="3"/>
  <c r="U33" i="3"/>
  <c r="N33" i="3"/>
  <c r="U32" i="3"/>
  <c r="N32" i="3"/>
  <c r="U31" i="3"/>
  <c r="N31" i="3"/>
  <c r="U30" i="3"/>
  <c r="N30" i="3"/>
  <c r="U29" i="3"/>
  <c r="N29" i="3"/>
  <c r="U28" i="3"/>
  <c r="N28" i="3"/>
  <c r="U27" i="3"/>
  <c r="N27" i="3"/>
  <c r="U26" i="3"/>
  <c r="N26" i="3"/>
  <c r="U25" i="3"/>
  <c r="N25" i="3"/>
  <c r="U24" i="3"/>
  <c r="N24" i="3"/>
  <c r="U23" i="3"/>
  <c r="N23" i="3"/>
  <c r="U22" i="3"/>
  <c r="N22" i="3"/>
  <c r="U21" i="3"/>
  <c r="N21" i="3"/>
  <c r="U20" i="3"/>
  <c r="N20" i="3"/>
  <c r="U19" i="3"/>
  <c r="N19" i="3"/>
  <c r="U18" i="3"/>
  <c r="N18" i="3"/>
  <c r="U17" i="3"/>
  <c r="N17" i="3"/>
  <c r="U16" i="3"/>
  <c r="N16" i="3"/>
  <c r="U15" i="3"/>
  <c r="N15" i="3"/>
  <c r="U14" i="3"/>
  <c r="N14" i="3"/>
  <c r="U13" i="3"/>
  <c r="N13" i="3"/>
  <c r="U12" i="3"/>
  <c r="U11" i="3"/>
  <c r="N11" i="3"/>
  <c r="U10" i="3"/>
  <c r="N10" i="3"/>
  <c r="U9" i="3"/>
  <c r="N9" i="3"/>
  <c r="U8" i="3"/>
  <c r="N8" i="3"/>
  <c r="U7" i="3"/>
  <c r="U6" i="3"/>
  <c r="N6" i="3"/>
  <c r="N3" i="3"/>
  <c r="N13" i="2"/>
  <c r="B47" i="2"/>
  <c r="N46" i="2"/>
  <c r="N45" i="2"/>
  <c r="N44" i="2"/>
  <c r="N43" i="2"/>
  <c r="U35" i="2"/>
  <c r="N35" i="2"/>
  <c r="U34" i="2"/>
  <c r="N34" i="2"/>
  <c r="U33" i="2"/>
  <c r="N33" i="2"/>
  <c r="U32" i="2"/>
  <c r="N32" i="2"/>
  <c r="U31" i="2"/>
  <c r="N31" i="2"/>
  <c r="U30" i="2"/>
  <c r="N30" i="2"/>
  <c r="U29" i="2"/>
  <c r="N29" i="2"/>
  <c r="U28" i="2"/>
  <c r="N28" i="2"/>
  <c r="U27" i="2"/>
  <c r="N27" i="2"/>
  <c r="U26" i="2"/>
  <c r="N26" i="2"/>
  <c r="U25" i="2"/>
  <c r="N25" i="2"/>
  <c r="U24" i="2"/>
  <c r="N24" i="2"/>
  <c r="U23" i="2"/>
  <c r="N23" i="2"/>
  <c r="U22" i="2"/>
  <c r="N22" i="2"/>
  <c r="U21" i="2"/>
  <c r="N21" i="2"/>
  <c r="U20" i="2"/>
  <c r="N20" i="2"/>
  <c r="U19" i="2"/>
  <c r="N19" i="2"/>
  <c r="U18" i="2"/>
  <c r="N18" i="2"/>
  <c r="U17" i="2"/>
  <c r="N17" i="2"/>
  <c r="U16" i="2"/>
  <c r="N16" i="2"/>
  <c r="U15" i="2"/>
  <c r="N15" i="2"/>
  <c r="U14" i="2"/>
  <c r="N14" i="2"/>
  <c r="U13" i="2"/>
  <c r="U12" i="2"/>
  <c r="U11" i="2"/>
  <c r="N11" i="2"/>
  <c r="U10" i="2"/>
  <c r="N10" i="2"/>
  <c r="U9" i="2"/>
  <c r="N9" i="2"/>
  <c r="U8" i="2"/>
  <c r="N8" i="2"/>
  <c r="U7" i="2"/>
  <c r="N7" i="2"/>
  <c r="U6" i="2"/>
  <c r="N6" i="2"/>
  <c r="N3" i="2"/>
  <c r="N3" i="1" l="1"/>
  <c r="N9" i="1"/>
  <c r="N6" i="1"/>
  <c r="N7" i="1" l="1"/>
  <c r="N35" i="1" l="1"/>
  <c r="N34" i="1"/>
  <c r="N33" i="1"/>
  <c r="N32" i="1"/>
  <c r="U8" i="1"/>
  <c r="N14" i="1"/>
  <c r="U13" i="1" l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N13" i="1"/>
  <c r="N44" i="1" l="1"/>
  <c r="N45" i="1"/>
  <c r="N46" i="1"/>
  <c r="N43" i="1"/>
  <c r="N24" i="1"/>
  <c r="N25" i="1"/>
  <c r="N26" i="1"/>
  <c r="N27" i="1"/>
  <c r="N28" i="1"/>
  <c r="N29" i="1"/>
  <c r="N30" i="1"/>
  <c r="N31" i="1"/>
  <c r="N11" i="1"/>
  <c r="U11" i="1"/>
  <c r="N12" i="1"/>
  <c r="U12" i="1"/>
  <c r="N8" i="1" l="1"/>
  <c r="N10" i="1"/>
  <c r="N15" i="1"/>
  <c r="N16" i="1"/>
  <c r="N17" i="1"/>
  <c r="N18" i="1"/>
  <c r="N19" i="1"/>
  <c r="N20" i="1"/>
  <c r="N21" i="1"/>
  <c r="N22" i="1"/>
  <c r="N23" i="1"/>
  <c r="B47" i="1" l="1"/>
  <c r="U9" i="1"/>
  <c r="U10" i="1"/>
  <c r="U7" i="1" l="1"/>
  <c r="U6" i="1"/>
</calcChain>
</file>

<file path=xl/sharedStrings.xml><?xml version="1.0" encoding="utf-8"?>
<sst xmlns="http://schemas.openxmlformats.org/spreadsheetml/2006/main" count="493" uniqueCount="120">
  <si>
    <t>업무구분</t>
  </si>
  <si>
    <t>프로젝트  명</t>
  </si>
  <si>
    <t>테이블 명세서</t>
  </si>
  <si>
    <t>작성자</t>
  </si>
  <si>
    <t>작업일자</t>
  </si>
  <si>
    <t>시 스 템   명</t>
  </si>
  <si>
    <t>승인자</t>
  </si>
  <si>
    <t>승인일자</t>
  </si>
  <si>
    <t>단계</t>
  </si>
  <si>
    <t>문서번호</t>
  </si>
  <si>
    <t>Version</t>
  </si>
  <si>
    <t>No.</t>
    <phoneticPr fontId="2" type="noConversion"/>
  </si>
  <si>
    <t>업무약어</t>
    <phoneticPr fontId="2" type="noConversion"/>
  </si>
  <si>
    <t>Table ID</t>
    <phoneticPr fontId="2" type="noConversion"/>
  </si>
  <si>
    <t>Table Name</t>
    <phoneticPr fontId="2" type="noConversion"/>
  </si>
  <si>
    <t>Column List</t>
    <phoneticPr fontId="2" type="noConversion"/>
  </si>
  <si>
    <t>Data Type</t>
    <phoneticPr fontId="2" type="noConversion"/>
  </si>
  <si>
    <t>PK</t>
    <phoneticPr fontId="2" type="noConversion"/>
  </si>
  <si>
    <t>Default</t>
    <phoneticPr fontId="2" type="noConversion"/>
  </si>
  <si>
    <t>문서명</t>
    <phoneticPr fontId="2" type="noConversion"/>
  </si>
  <si>
    <t>컬럼명</t>
    <phoneticPr fontId="2" type="noConversion"/>
  </si>
  <si>
    <t>컬럼 한글명</t>
    <phoneticPr fontId="2" type="noConversion"/>
  </si>
  <si>
    <t>Null</t>
    <phoneticPr fontId="2" type="noConversion"/>
  </si>
  <si>
    <t>Length</t>
    <phoneticPr fontId="2" type="noConversion"/>
  </si>
  <si>
    <t>FK</t>
    <phoneticPr fontId="2" type="noConversion"/>
  </si>
  <si>
    <t>Y</t>
  </si>
  <si>
    <t xml:space="preserve"> </t>
  </si>
  <si>
    <t>기타</t>
    <phoneticPr fontId="2" type="noConversion"/>
  </si>
  <si>
    <t>Uniquey</t>
    <phoneticPr fontId="2" type="noConversion"/>
  </si>
  <si>
    <t>Remark</t>
    <phoneticPr fontId="2" type="noConversion"/>
  </si>
  <si>
    <t>물리설계</t>
    <phoneticPr fontId="2" type="noConversion"/>
  </si>
  <si>
    <t>Index Name</t>
    <phoneticPr fontId="2" type="noConversion"/>
  </si>
  <si>
    <t>ERD Name</t>
    <phoneticPr fontId="2" type="noConversion"/>
  </si>
  <si>
    <t>Entity Name</t>
    <phoneticPr fontId="2" type="noConversion"/>
  </si>
  <si>
    <t>주제영역</t>
    <phoneticPr fontId="2" type="noConversion"/>
  </si>
  <si>
    <t>심사기본</t>
    <phoneticPr fontId="2" type="noConversion"/>
  </si>
  <si>
    <t>v0.1</t>
    <phoneticPr fontId="2" type="noConversion"/>
  </si>
  <si>
    <t>)</t>
    <phoneticPr fontId="2" type="noConversion"/>
  </si>
  <si>
    <t>Remark(Comment)</t>
    <phoneticPr fontId="2" type="noConversion"/>
  </si>
  <si>
    <t>MachineProject</t>
    <phoneticPr fontId="2" type="noConversion"/>
  </si>
  <si>
    <t>신소연</t>
    <phoneticPr fontId="2" type="noConversion"/>
  </si>
  <si>
    <t>기계ID</t>
    <phoneticPr fontId="28" type="noConversion"/>
  </si>
  <si>
    <t>가용여부</t>
    <phoneticPr fontId="28" type="noConversion"/>
  </si>
  <si>
    <t>b'0'</t>
    <phoneticPr fontId="28" type="noConversion"/>
  </si>
  <si>
    <t>N</t>
    <phoneticPr fontId="28" type="noConversion"/>
  </si>
  <si>
    <t>BIT</t>
    <phoneticPr fontId="28" type="noConversion"/>
  </si>
  <si>
    <t>CHAR</t>
    <phoneticPr fontId="28" type="noConversion"/>
  </si>
  <si>
    <t>MACHINE</t>
    <phoneticPr fontId="2" type="noConversion"/>
  </si>
  <si>
    <t>기계</t>
    <phoneticPr fontId="2" type="noConversion"/>
  </si>
  <si>
    <t>직원ID</t>
    <phoneticPr fontId="28" type="noConversion"/>
  </si>
  <si>
    <t>이름</t>
    <phoneticPr fontId="28" type="noConversion"/>
  </si>
  <si>
    <t>핸드폰</t>
  </si>
  <si>
    <t>이메일</t>
  </si>
  <si>
    <t>주소</t>
  </si>
  <si>
    <t>권한</t>
    <phoneticPr fontId="28" type="noConversion"/>
  </si>
  <si>
    <t>아이디</t>
    <phoneticPr fontId="28" type="noConversion"/>
  </si>
  <si>
    <t>비밀번호</t>
    <phoneticPr fontId="28" type="noConversion"/>
  </si>
  <si>
    <t>EMPLOYEES</t>
    <phoneticPr fontId="2" type="noConversion"/>
  </si>
  <si>
    <t>직원</t>
    <phoneticPr fontId="2" type="noConversion"/>
  </si>
  <si>
    <t>N</t>
    <phoneticPr fontId="28" type="noConversion"/>
  </si>
  <si>
    <t>관리자/ 직원</t>
  </si>
  <si>
    <t>VARCHAR</t>
    <phoneticPr fontId="28" type="noConversion"/>
  </si>
  <si>
    <t>제품기록코드</t>
    <phoneticPr fontId="28" type="noConversion"/>
  </si>
  <si>
    <t>INT</t>
    <phoneticPr fontId="28" type="noConversion"/>
  </si>
  <si>
    <t>제품ID</t>
    <phoneticPr fontId="28" type="noConversion"/>
  </si>
  <si>
    <t>생산가능제품인지?</t>
    <phoneticPr fontId="28" type="noConversion"/>
  </si>
  <si>
    <t>작업지시코드</t>
    <phoneticPr fontId="28" type="noConversion"/>
  </si>
  <si>
    <t>INT</t>
    <phoneticPr fontId="28" type="noConversion"/>
  </si>
  <si>
    <t>생산팀 직원</t>
    <phoneticPr fontId="28" type="noConversion"/>
  </si>
  <si>
    <t>갯수</t>
    <phoneticPr fontId="28" type="noConversion"/>
  </si>
  <si>
    <t>생산날짜</t>
    <phoneticPr fontId="28" type="noConversion"/>
  </si>
  <si>
    <t>DATETIME</t>
    <phoneticPr fontId="28" type="noConversion"/>
  </si>
  <si>
    <t>불량률</t>
    <phoneticPr fontId="28" type="noConversion"/>
  </si>
  <si>
    <t>Y</t>
    <phoneticPr fontId="2" type="noConversion"/>
  </si>
  <si>
    <t>AUTO_INCREMENT</t>
  </si>
  <si>
    <t>DOUBLE</t>
    <phoneticPr fontId="28" type="noConversion"/>
  </si>
  <si>
    <t>PRODUCTTION</t>
    <phoneticPr fontId="2" type="noConversion"/>
  </si>
  <si>
    <t>MachineID</t>
    <phoneticPr fontId="2" type="noConversion"/>
  </si>
  <si>
    <t>isRunning</t>
    <phoneticPr fontId="2" type="noConversion"/>
  </si>
  <si>
    <t>EmployeeCode</t>
    <phoneticPr fontId="2" type="noConversion"/>
  </si>
  <si>
    <t>Name</t>
    <phoneticPr fontId="2" type="noConversion"/>
  </si>
  <si>
    <t>Phone</t>
    <phoneticPr fontId="2" type="noConversion"/>
  </si>
  <si>
    <t>Email</t>
    <phoneticPr fontId="2" type="noConversion"/>
  </si>
  <si>
    <t>Addr</t>
    <phoneticPr fontId="2" type="noConversion"/>
  </si>
  <si>
    <t>Authority</t>
    <phoneticPr fontId="2" type="noConversion"/>
  </si>
  <si>
    <t>ID</t>
    <phoneticPr fontId="2" type="noConversion"/>
  </si>
  <si>
    <t>Password</t>
    <phoneticPr fontId="2" type="noConversion"/>
  </si>
  <si>
    <t>ProductionID</t>
    <phoneticPr fontId="2" type="noConversion"/>
  </si>
  <si>
    <t>TodoCode</t>
    <phoneticPr fontId="2" type="noConversion"/>
  </si>
  <si>
    <t>Amount</t>
    <phoneticPr fontId="2" type="noConversion"/>
  </si>
  <si>
    <t>DefectRate</t>
    <phoneticPr fontId="2" type="noConversion"/>
  </si>
  <si>
    <t>ProductionDate</t>
    <phoneticPr fontId="2" type="noConversion"/>
  </si>
  <si>
    <t>N</t>
    <phoneticPr fontId="2" type="noConversion"/>
  </si>
  <si>
    <t>machine</t>
    <phoneticPr fontId="2" type="noConversion"/>
  </si>
  <si>
    <t>production</t>
    <phoneticPr fontId="2" type="noConversion"/>
  </si>
  <si>
    <t>employee</t>
    <phoneticPr fontId="2" type="noConversion"/>
  </si>
  <si>
    <t>todo</t>
    <phoneticPr fontId="2" type="noConversion"/>
  </si>
  <si>
    <t>EmployeeID</t>
    <phoneticPr fontId="2" type="noConversion"/>
  </si>
  <si>
    <t>제품이름</t>
    <phoneticPr fontId="28" type="noConversion"/>
  </si>
  <si>
    <t>ProductionName</t>
    <phoneticPr fontId="2" type="noConversion"/>
  </si>
  <si>
    <t>TODO</t>
    <phoneticPr fontId="2" type="noConversion"/>
  </si>
  <si>
    <t>PRODUCTTIONLIST</t>
    <phoneticPr fontId="2" type="noConversion"/>
  </si>
  <si>
    <t>ProductionCode</t>
    <phoneticPr fontId="2" type="noConversion"/>
  </si>
  <si>
    <t>하루예상생산량</t>
    <phoneticPr fontId="28" type="noConversion"/>
  </si>
  <si>
    <t>MachineID</t>
    <phoneticPr fontId="28" type="noConversion"/>
  </si>
  <si>
    <t>ProductionID</t>
    <phoneticPr fontId="28" type="noConversion"/>
  </si>
  <si>
    <t>CapacityPerDay</t>
    <phoneticPr fontId="2" type="noConversion"/>
  </si>
  <si>
    <t>Machine</t>
    <phoneticPr fontId="2" type="noConversion"/>
  </si>
  <si>
    <t>Production</t>
    <phoneticPr fontId="2" type="noConversion"/>
  </si>
  <si>
    <t>5분마다</t>
    <phoneticPr fontId="2" type="noConversion"/>
  </si>
  <si>
    <t>생산계획코드</t>
    <phoneticPr fontId="28" type="noConversion"/>
  </si>
  <si>
    <t>생산가능제품인지?</t>
  </si>
  <si>
    <t>ProductionPlan</t>
    <phoneticPr fontId="2" type="noConversion"/>
  </si>
  <si>
    <t>ProductionPlanCode</t>
    <phoneticPr fontId="2" type="noConversion"/>
  </si>
  <si>
    <t>Todo</t>
    <phoneticPr fontId="2" type="noConversion"/>
  </si>
  <si>
    <t>작업지시</t>
    <phoneticPr fontId="2" type="noConversion"/>
  </si>
  <si>
    <t>제품 생산 기록</t>
    <phoneticPr fontId="2" type="noConversion"/>
  </si>
  <si>
    <t>기계 생산가능 제품</t>
    <phoneticPr fontId="2" type="noConversion"/>
  </si>
  <si>
    <t>생산계획</t>
    <phoneticPr fontId="2" type="noConversion"/>
  </si>
  <si>
    <t>제품목록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</si>
</sst>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_)"/>
    <numFmt numFmtId="177" formatCode="_ * #,##0.00_)_K_s_h_ ;_ * \(#,##0.00\)_K_s_h_ ;_ * &quot;-&quot;??_)_K_s_h_ ;_ @_ "/>
    <numFmt numFmtId="178" formatCode="&quot;$&quot;#,###"/>
    <numFmt numFmtId="179" formatCode="_(&quot;$&quot;* #,##0.0_);_(&quot;$&quot;* \(#,##0.0\);_(&quot;$&quot;* &quot;-&quot;_);_(@_)"/>
    <numFmt numFmtId="180" formatCode="_ * #,##0_ ;_ * \-#,##0_ ;_ * &quot;-&quot;_ ;_ @_ "/>
    <numFmt numFmtId="181" formatCode="_ * #,##0.00_ ;_ * \-#,##0.00_ ;_ * &quot;-&quot;??_ ;_ @_ "/>
    <numFmt numFmtId="182" formatCode="0000000"/>
  </numFmts>
  <fonts count="3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8"/>
      <name val="Arial"/>
      <family val="2"/>
    </font>
    <font>
      <sz val="10"/>
      <name val="Helv"/>
      <family val="2"/>
    </font>
    <font>
      <sz val="12"/>
      <name val="뼻뮝"/>
      <family val="1"/>
      <charset val="129"/>
    </font>
    <font>
      <sz val="12"/>
      <name val="Tms Rm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b/>
      <sz val="12"/>
      <name val="Arial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sz val="10"/>
      <color rgb="FF00000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1"/>
      <color rgb="FF000000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1"/>
      <name val="나눔고딕"/>
      <family val="3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9">
    <xf numFmtId="0" fontId="0" fillId="0" borderId="0">
      <alignment vertical="center"/>
    </xf>
    <xf numFmtId="0" fontId="3" fillId="0" borderId="0"/>
    <xf numFmtId="0" fontId="8" fillId="0" borderId="0" applyNumberFormat="0" applyFill="0" applyBorder="0" applyAlignment="0" applyProtection="0"/>
    <xf numFmtId="0" fontId="9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 applyNumberFormat="0" applyAlignment="0">
      <alignment horizontal="left"/>
    </xf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12" fillId="0" borderId="0" applyNumberFormat="0" applyAlignment="0">
      <alignment horizontal="left"/>
    </xf>
    <xf numFmtId="38" fontId="5" fillId="2" borderId="0" applyNumberFormat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5" fillId="3" borderId="3" applyNumberFormat="0" applyBorder="0" applyAlignment="0" applyProtection="0"/>
    <xf numFmtId="182" fontId="10" fillId="0" borderId="0"/>
    <xf numFmtId="0" fontId="10" fillId="0" borderId="0"/>
    <xf numFmtId="10" fontId="10" fillId="0" borderId="0" applyFont="0" applyFill="0" applyBorder="0" applyAlignment="0" applyProtection="0"/>
    <xf numFmtId="0" fontId="14" fillId="0" borderId="0" applyNumberFormat="0" applyFill="0" applyBorder="0" applyAlignment="0" applyProtection="0">
      <alignment horizontal="left"/>
    </xf>
    <xf numFmtId="40" fontId="15" fillId="0" borderId="0" applyBorder="0">
      <alignment horizontal="right"/>
    </xf>
    <xf numFmtId="0" fontId="7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</cellStyleXfs>
  <cellXfs count="157">
    <xf numFmtId="0" fontId="0" fillId="0" borderId="0" xfId="0">
      <alignment vertical="center"/>
    </xf>
    <xf numFmtId="0" fontId="17" fillId="0" borderId="6" xfId="1" applyFont="1" applyBorder="1" applyAlignment="1">
      <alignment horizontal="center" vertical="center" wrapText="1" readingOrder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3" xfId="1" applyFont="1" applyBorder="1" applyAlignment="1">
      <alignment horizontal="center" vertical="center" wrapText="1" readingOrder="1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17" fillId="0" borderId="19" xfId="1" applyFont="1" applyBorder="1" applyAlignment="1">
      <alignment horizontal="center" vertical="center" wrapText="1" readingOrder="1"/>
    </xf>
    <xf numFmtId="0" fontId="17" fillId="0" borderId="21" xfId="1" applyFont="1" applyBorder="1" applyAlignment="1">
      <alignment horizontal="center" vertical="center" wrapText="1" readingOrder="1"/>
    </xf>
    <xf numFmtId="0" fontId="17" fillId="0" borderId="3" xfId="1" quotePrefix="1" applyFont="1" applyBorder="1" applyAlignment="1">
      <alignment horizontal="center" vertical="center" wrapText="1" readingOrder="1"/>
    </xf>
    <xf numFmtId="14" fontId="17" fillId="0" borderId="3" xfId="1" applyNumberFormat="1" applyFont="1" applyBorder="1" applyAlignment="1">
      <alignment horizontal="center" vertical="center" wrapText="1" readingOrder="1"/>
    </xf>
    <xf numFmtId="0" fontId="17" fillId="0" borderId="16" xfId="1" applyFont="1" applyBorder="1" applyAlignment="1">
      <alignment horizontal="center" vertical="center" wrapText="1" readingOrder="1"/>
    </xf>
    <xf numFmtId="0" fontId="17" fillId="0" borderId="20" xfId="1" applyFont="1" applyBorder="1" applyAlignment="1">
      <alignment horizontal="center" vertical="center" wrapText="1" readingOrder="1"/>
    </xf>
    <xf numFmtId="0" fontId="17" fillId="0" borderId="7" xfId="1" applyFont="1" applyBorder="1" applyAlignment="1">
      <alignment horizontal="center" vertical="center" wrapText="1" readingOrder="1"/>
    </xf>
    <xf numFmtId="0" fontId="17" fillId="0" borderId="0" xfId="1" applyFont="1" applyBorder="1" applyAlignment="1">
      <alignment vertical="center" wrapText="1" readingOrder="1"/>
    </xf>
    <xf numFmtId="0" fontId="21" fillId="0" borderId="0" xfId="0" applyFo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1" applyFont="1" applyBorder="1" applyAlignment="1">
      <alignment vertical="center" wrapText="1" readingOrder="1"/>
    </xf>
    <xf numFmtId="0" fontId="22" fillId="0" borderId="0" xfId="0" applyFont="1" applyAlignment="1">
      <alignment vertical="center"/>
    </xf>
    <xf numFmtId="0" fontId="22" fillId="0" borderId="0" xfId="0" applyFont="1">
      <alignment vertical="center"/>
    </xf>
    <xf numFmtId="0" fontId="17" fillId="0" borderId="18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0" fillId="0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3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14" fontId="17" fillId="0" borderId="0" xfId="1" applyNumberFormat="1" applyFont="1" applyBorder="1" applyAlignment="1">
      <alignment horizontal="center" vertical="center" wrapText="1" readingOrder="1"/>
    </xf>
    <xf numFmtId="0" fontId="17" fillId="0" borderId="0" xfId="1" quotePrefix="1" applyFont="1" applyBorder="1" applyAlignment="1">
      <alignment horizontal="center" vertical="center" wrapText="1" readingOrder="1"/>
    </xf>
    <xf numFmtId="0" fontId="25" fillId="0" borderId="0" xfId="1" applyFont="1" applyBorder="1" applyAlignment="1">
      <alignment horizontal="center" vertical="center" wrapText="1" readingOrder="1"/>
    </xf>
    <xf numFmtId="0" fontId="24" fillId="5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0" xfId="1" applyFont="1" applyFill="1" applyBorder="1" applyAlignment="1">
      <alignment vertical="center" wrapText="1"/>
    </xf>
    <xf numFmtId="0" fontId="20" fillId="0" borderId="0" xfId="0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horizontal="center" vertical="center" wrapText="1"/>
    </xf>
    <xf numFmtId="49" fontId="19" fillId="0" borderId="0" xfId="1" applyNumberFormat="1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6" fillId="0" borderId="0" xfId="1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17" fillId="0" borderId="12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29" fillId="0" borderId="26" xfId="0" applyFont="1" applyBorder="1">
      <alignment vertical="center"/>
    </xf>
    <xf numFmtId="49" fontId="29" fillId="0" borderId="26" xfId="0" applyNumberFormat="1" applyFont="1" applyBorder="1">
      <alignment vertical="center"/>
    </xf>
    <xf numFmtId="0" fontId="31" fillId="0" borderId="26" xfId="0" applyFont="1" applyBorder="1">
      <alignment vertical="center"/>
    </xf>
    <xf numFmtId="0" fontId="29" fillId="0" borderId="26" xfId="1" applyFont="1" applyBorder="1" applyAlignment="1">
      <alignment vertical="center"/>
    </xf>
    <xf numFmtId="0" fontId="31" fillId="0" borderId="26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29" fillId="0" borderId="3" xfId="0" applyFont="1" applyBorder="1">
      <alignment vertical="center"/>
    </xf>
    <xf numFmtId="0" fontId="31" fillId="0" borderId="3" xfId="0" applyFont="1" applyBorder="1">
      <alignment vertical="center"/>
    </xf>
    <xf numFmtId="0" fontId="29" fillId="0" borderId="26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>
      <alignment vertical="center"/>
    </xf>
    <xf numFmtId="0" fontId="30" fillId="0" borderId="3" xfId="0" applyFont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26" xfId="0" applyFont="1" applyBorder="1" applyAlignment="1">
      <alignment horizontal="left" vertical="center"/>
    </xf>
    <xf numFmtId="0" fontId="29" fillId="0" borderId="3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center"/>
    </xf>
    <xf numFmtId="0" fontId="32" fillId="0" borderId="26" xfId="0" applyFont="1" applyBorder="1" applyAlignment="1">
      <alignment horizontal="right" vertical="center"/>
    </xf>
    <xf numFmtId="0" fontId="29" fillId="0" borderId="26" xfId="0" applyFont="1" applyBorder="1" applyAlignment="1">
      <alignment horizontal="right" vertical="center"/>
    </xf>
    <xf numFmtId="0" fontId="31" fillId="0" borderId="3" xfId="0" applyFont="1" applyBorder="1" applyAlignment="1">
      <alignment horizontal="right" vertical="center"/>
    </xf>
    <xf numFmtId="0" fontId="31" fillId="0" borderId="26" xfId="0" applyFont="1" applyBorder="1" applyAlignment="1">
      <alignment horizontal="right" vertical="center"/>
    </xf>
    <xf numFmtId="0" fontId="34" fillId="0" borderId="3" xfId="1" applyFont="1" applyFill="1" applyBorder="1" applyAlignment="1">
      <alignment horizontal="center" vertical="center" wrapText="1"/>
    </xf>
    <xf numFmtId="49" fontId="34" fillId="0" borderId="3" xfId="1" applyNumberFormat="1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34" fillId="0" borderId="3" xfId="1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49" fontId="34" fillId="0" borderId="3" xfId="1" quotePrefix="1" applyNumberFormat="1" applyFont="1" applyFill="1" applyBorder="1" applyAlignment="1">
      <alignment vertical="center" wrapText="1"/>
    </xf>
    <xf numFmtId="0" fontId="34" fillId="0" borderId="3" xfId="1" applyFont="1" applyFill="1" applyBorder="1" applyAlignment="1">
      <alignment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right" vertical="center" wrapText="1"/>
    </xf>
    <xf numFmtId="0" fontId="20" fillId="0" borderId="12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vertical="center"/>
    </xf>
    <xf numFmtId="0" fontId="31" fillId="0" borderId="3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34" fillId="0" borderId="3" xfId="1" applyFont="1" applyBorder="1" applyAlignment="1">
      <alignment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5" xfId="1" applyFont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20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5" fillId="0" borderId="12" xfId="1" applyFont="1" applyBorder="1" applyAlignment="1">
      <alignment horizontal="center" vertical="center" wrapText="1" readingOrder="1"/>
    </xf>
    <xf numFmtId="0" fontId="25" fillId="0" borderId="2" xfId="1" applyFont="1" applyBorder="1" applyAlignment="1">
      <alignment horizontal="center" vertical="center" wrapText="1" readingOrder="1"/>
    </xf>
    <xf numFmtId="0" fontId="25" fillId="0" borderId="13" xfId="1" applyFont="1" applyBorder="1" applyAlignment="1">
      <alignment horizontal="center" vertical="center" wrapText="1" readingOrder="1"/>
    </xf>
    <xf numFmtId="0" fontId="17" fillId="0" borderId="12" xfId="1" applyFont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13" xfId="1" applyFont="1" applyBorder="1" applyAlignment="1">
      <alignment horizontal="center" vertical="center" wrapText="1" readingOrder="1"/>
    </xf>
    <xf numFmtId="0" fontId="17" fillId="0" borderId="22" xfId="1" applyFont="1" applyBorder="1" applyAlignment="1">
      <alignment horizontal="center" vertical="center" wrapText="1"/>
    </xf>
    <xf numFmtId="0" fontId="17" fillId="0" borderId="23" xfId="1" applyFont="1" applyBorder="1" applyAlignment="1">
      <alignment horizontal="center" vertical="center" wrapText="1"/>
    </xf>
    <xf numFmtId="0" fontId="18" fillId="0" borderId="8" xfId="1" applyFont="1" applyBorder="1" applyAlignment="1">
      <alignment horizontal="center" vertical="center" wrapText="1" readingOrder="1"/>
    </xf>
    <xf numFmtId="0" fontId="18" fillId="0" borderId="9" xfId="1" applyFont="1" applyBorder="1" applyAlignment="1">
      <alignment horizontal="center" vertical="center" wrapText="1" readingOrder="1"/>
    </xf>
    <xf numFmtId="0" fontId="18" fillId="0" borderId="10" xfId="1" applyFont="1" applyBorder="1" applyAlignment="1">
      <alignment horizontal="center" vertical="center" wrapText="1" readingOrder="1"/>
    </xf>
    <xf numFmtId="0" fontId="18" fillId="0" borderId="11" xfId="1" applyFont="1" applyBorder="1" applyAlignment="1">
      <alignment horizontal="center" vertical="center" wrapText="1" readingOrder="1"/>
    </xf>
    <xf numFmtId="0" fontId="17" fillId="0" borderId="17" xfId="1" applyFont="1" applyBorder="1" applyAlignment="1">
      <alignment horizontal="center" vertical="center" wrapText="1" readingOrder="1"/>
    </xf>
    <xf numFmtId="0" fontId="25" fillId="0" borderId="3" xfId="1" applyFont="1" applyBorder="1" applyAlignment="1">
      <alignment horizontal="center" vertical="center" wrapText="1" readingOrder="1"/>
    </xf>
    <xf numFmtId="0" fontId="34" fillId="0" borderId="3" xfId="1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4" fillId="4" borderId="12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</cellXfs>
  <cellStyles count="79">
    <cellStyle name="Body" xfId="2" xr:uid="{00000000-0005-0000-0000-000000000000}"/>
    <cellStyle name="Calc Currency (0)" xfId="3" xr:uid="{00000000-0005-0000-0000-000001000000}"/>
    <cellStyle name="Comma [0]_ SG&amp;A Bridge " xfId="4" xr:uid="{00000000-0005-0000-0000-000002000000}"/>
    <cellStyle name="Comma_ SG&amp;A Bridge " xfId="5" xr:uid="{00000000-0005-0000-0000-000003000000}"/>
    <cellStyle name="Copied" xfId="6" xr:uid="{00000000-0005-0000-0000-000004000000}"/>
    <cellStyle name="Currency [0]_ SG&amp;A Bridge " xfId="7" xr:uid="{00000000-0005-0000-0000-000005000000}"/>
    <cellStyle name="Currency_ SG&amp;A Bridge " xfId="8" xr:uid="{00000000-0005-0000-0000-000006000000}"/>
    <cellStyle name="Entered" xfId="9" xr:uid="{00000000-0005-0000-0000-000007000000}"/>
    <cellStyle name="Grey" xfId="10" xr:uid="{00000000-0005-0000-0000-000008000000}"/>
    <cellStyle name="Header1" xfId="11" xr:uid="{00000000-0005-0000-0000-000009000000}"/>
    <cellStyle name="Header2" xfId="12" xr:uid="{00000000-0005-0000-0000-00000A000000}"/>
    <cellStyle name="Input [yellow]" xfId="13" xr:uid="{00000000-0005-0000-0000-00000B000000}"/>
    <cellStyle name="Normal - Style1" xfId="14" xr:uid="{00000000-0005-0000-0000-00000C000000}"/>
    <cellStyle name="Normal_ SG&amp;A Bridge " xfId="15" xr:uid="{00000000-0005-0000-0000-00000D000000}"/>
    <cellStyle name="Percent [2]" xfId="16" xr:uid="{00000000-0005-0000-0000-00000E000000}"/>
    <cellStyle name="RevList" xfId="17" xr:uid="{00000000-0005-0000-0000-00000F000000}"/>
    <cellStyle name="Subtotal" xfId="18" xr:uid="{00000000-0005-0000-0000-000010000000}"/>
    <cellStyle name="뷭?_BOOKSHIP" xfId="19" xr:uid="{00000000-0005-0000-0000-000011000000}"/>
    <cellStyle name="스타일 1" xfId="20" xr:uid="{00000000-0005-0000-0000-000012000000}"/>
    <cellStyle name="스타일 1 2" xfId="21" xr:uid="{00000000-0005-0000-0000-000013000000}"/>
    <cellStyle name="스타일 1 3" xfId="22" xr:uid="{00000000-0005-0000-0000-000014000000}"/>
    <cellStyle name="스타일 1 4" xfId="23" xr:uid="{00000000-0005-0000-0000-000015000000}"/>
    <cellStyle name="스타일 1 5" xfId="24" xr:uid="{00000000-0005-0000-0000-000016000000}"/>
    <cellStyle name="콤마 [0]_1202" xfId="25" xr:uid="{00000000-0005-0000-0000-000017000000}"/>
    <cellStyle name="콤마_1202" xfId="26" xr:uid="{00000000-0005-0000-0000-000018000000}"/>
    <cellStyle name="표준" xfId="0" builtinId="0"/>
    <cellStyle name="표준 13 2" xfId="27" xr:uid="{00000000-0005-0000-0000-00001A000000}"/>
    <cellStyle name="표준 13 3" xfId="28" xr:uid="{00000000-0005-0000-0000-00001B000000}"/>
    <cellStyle name="표준 13 4" xfId="29" xr:uid="{00000000-0005-0000-0000-00001C000000}"/>
    <cellStyle name="표준 13 5" xfId="30" xr:uid="{00000000-0005-0000-0000-00001D000000}"/>
    <cellStyle name="표준 13 6" xfId="31" xr:uid="{00000000-0005-0000-0000-00001E000000}"/>
    <cellStyle name="표준 13 7" xfId="32" xr:uid="{00000000-0005-0000-0000-00001F000000}"/>
    <cellStyle name="표준 13 8" xfId="33" xr:uid="{00000000-0005-0000-0000-000020000000}"/>
    <cellStyle name="표준 19 2" xfId="34" xr:uid="{00000000-0005-0000-0000-000021000000}"/>
    <cellStyle name="표준 19 3" xfId="35" xr:uid="{00000000-0005-0000-0000-000022000000}"/>
    <cellStyle name="표준 19 4" xfId="36" xr:uid="{00000000-0005-0000-0000-000023000000}"/>
    <cellStyle name="표준 19 5" xfId="37" xr:uid="{00000000-0005-0000-0000-000024000000}"/>
    <cellStyle name="표준 19 6" xfId="38" xr:uid="{00000000-0005-0000-0000-000025000000}"/>
    <cellStyle name="표준 19 7" xfId="39" xr:uid="{00000000-0005-0000-0000-000026000000}"/>
    <cellStyle name="표준 19 8" xfId="40" xr:uid="{00000000-0005-0000-0000-000027000000}"/>
    <cellStyle name="표준 2" xfId="1" xr:uid="{00000000-0005-0000-0000-000028000000}"/>
    <cellStyle name="표준 2 10" xfId="41" xr:uid="{00000000-0005-0000-0000-000029000000}"/>
    <cellStyle name="표준 2 11" xfId="42" xr:uid="{00000000-0005-0000-0000-00002A000000}"/>
    <cellStyle name="표준 2 12" xfId="43" xr:uid="{00000000-0005-0000-0000-00002B000000}"/>
    <cellStyle name="표준 2 13" xfId="44" xr:uid="{00000000-0005-0000-0000-00002C000000}"/>
    <cellStyle name="표준 2 14" xfId="45" xr:uid="{00000000-0005-0000-0000-00002D000000}"/>
    <cellStyle name="표준 2 15" xfId="46" xr:uid="{00000000-0005-0000-0000-00002E000000}"/>
    <cellStyle name="표준 2 16" xfId="47" xr:uid="{00000000-0005-0000-0000-00002F000000}"/>
    <cellStyle name="표준 2 17" xfId="48" xr:uid="{00000000-0005-0000-0000-000030000000}"/>
    <cellStyle name="표준 2 18" xfId="49" xr:uid="{00000000-0005-0000-0000-000031000000}"/>
    <cellStyle name="표준 2 19" xfId="50" xr:uid="{00000000-0005-0000-0000-000032000000}"/>
    <cellStyle name="표준 2 2" xfId="51" xr:uid="{00000000-0005-0000-0000-000033000000}"/>
    <cellStyle name="표준 2 20" xfId="52" xr:uid="{00000000-0005-0000-0000-000034000000}"/>
    <cellStyle name="표준 2 21" xfId="53" xr:uid="{00000000-0005-0000-0000-000035000000}"/>
    <cellStyle name="표준 2 22" xfId="54" xr:uid="{00000000-0005-0000-0000-000036000000}"/>
    <cellStyle name="표준 2 23" xfId="55" xr:uid="{00000000-0005-0000-0000-000037000000}"/>
    <cellStyle name="표준 2 3" xfId="56" xr:uid="{00000000-0005-0000-0000-000038000000}"/>
    <cellStyle name="표준 2 4" xfId="57" xr:uid="{00000000-0005-0000-0000-000039000000}"/>
    <cellStyle name="표준 2 5" xfId="58" xr:uid="{00000000-0005-0000-0000-00003A000000}"/>
    <cellStyle name="표준 2 6" xfId="59" xr:uid="{00000000-0005-0000-0000-00003B000000}"/>
    <cellStyle name="표준 2 7" xfId="60" xr:uid="{00000000-0005-0000-0000-00003C000000}"/>
    <cellStyle name="표준 2 8" xfId="61" xr:uid="{00000000-0005-0000-0000-00003D000000}"/>
    <cellStyle name="표준 2 9" xfId="62" xr:uid="{00000000-0005-0000-0000-00003E000000}"/>
    <cellStyle name="표준 23" xfId="63" xr:uid="{00000000-0005-0000-0000-00003F000000}"/>
    <cellStyle name="표준 3" xfId="78" xr:uid="{00000000-0005-0000-0000-000040000000}"/>
    <cellStyle name="표준 3 2" xfId="64" xr:uid="{00000000-0005-0000-0000-000041000000}"/>
    <cellStyle name="표준 3 3" xfId="65" xr:uid="{00000000-0005-0000-0000-000042000000}"/>
    <cellStyle name="표준 4" xfId="66" xr:uid="{00000000-0005-0000-0000-000043000000}"/>
    <cellStyle name="표준 4 2" xfId="67" xr:uid="{00000000-0005-0000-0000-000044000000}"/>
    <cellStyle name="표준 4 3" xfId="68" xr:uid="{00000000-0005-0000-0000-000045000000}"/>
    <cellStyle name="표준 5" xfId="69" xr:uid="{00000000-0005-0000-0000-000046000000}"/>
    <cellStyle name="표준 6" xfId="70" xr:uid="{00000000-0005-0000-0000-000047000000}"/>
    <cellStyle name="표준 7 2" xfId="71" xr:uid="{00000000-0005-0000-0000-000048000000}"/>
    <cellStyle name="표준 7 3" xfId="72" xr:uid="{00000000-0005-0000-0000-000049000000}"/>
    <cellStyle name="표준 7 4" xfId="73" xr:uid="{00000000-0005-0000-0000-00004A000000}"/>
    <cellStyle name="표준 7 5" xfId="74" xr:uid="{00000000-0005-0000-0000-00004B000000}"/>
    <cellStyle name="표준 7 6" xfId="75" xr:uid="{00000000-0005-0000-0000-00004C000000}"/>
    <cellStyle name="표준 7 7" xfId="76" xr:uid="{00000000-0005-0000-0000-00004D000000}"/>
    <cellStyle name="표준 7 8" xfId="77" xr:uid="{00000000-0005-0000-0000-00004E000000}"/>
  </cellStyles>
  <dxfs count="2">
    <dxf>
      <font>
        <color auto="1"/>
      </font>
      <fill>
        <patternFill>
          <bgColor theme="0" tint="-0.14996795556505021"/>
        </patternFill>
      </fill>
    </dxf>
    <dxf>
      <font>
        <b val="0"/>
        <i val="0"/>
        <u val="none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2" defaultPivotStyle="PivotStyleLight16">
    <tableStyle name="표 스타일 1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518160</xdr:colOff>
          <xdr:row>0</xdr:row>
          <xdr:rowOff>22860</xdr:rowOff>
        </xdr:from>
        <xdr:to>
          <xdr:col>14</xdr:col>
          <xdr:colOff>502920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22860</xdr:rowOff>
        </xdr:from>
        <xdr:to>
          <xdr:col>14</xdr:col>
          <xdr:colOff>365760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22860</xdr:rowOff>
        </xdr:from>
        <xdr:to>
          <xdr:col>14</xdr:col>
          <xdr:colOff>22860</xdr:colOff>
          <xdr:row>1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22860</xdr:rowOff>
        </xdr:from>
        <xdr:to>
          <xdr:col>14</xdr:col>
          <xdr:colOff>22860</xdr:colOff>
          <xdr:row>1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403860</xdr:colOff>
          <xdr:row>0</xdr:row>
          <xdr:rowOff>22860</xdr:rowOff>
        </xdr:from>
        <xdr:to>
          <xdr:col>14</xdr:col>
          <xdr:colOff>403860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403860</xdr:colOff>
          <xdr:row>0</xdr:row>
          <xdr:rowOff>22860</xdr:rowOff>
        </xdr:from>
        <xdr:to>
          <xdr:col>14</xdr:col>
          <xdr:colOff>403860</xdr:colOff>
          <xdr:row>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403860</xdr:colOff>
          <xdr:row>0</xdr:row>
          <xdr:rowOff>22860</xdr:rowOff>
        </xdr:from>
        <xdr:to>
          <xdr:col>14</xdr:col>
          <xdr:colOff>403860</xdr:colOff>
          <xdr:row>1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7"/>
  <sheetViews>
    <sheetView zoomScaleNormal="100" workbookViewId="0">
      <selection activeCell="B7" sqref="B7:L37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2.59765625" customWidth="1"/>
    <col min="6" max="6" width="7.09765625" customWidth="1"/>
    <col min="7" max="7" width="3.59765625" bestFit="1" customWidth="1"/>
    <col min="8" max="8" width="8" bestFit="1" customWidth="1"/>
    <col min="9" max="9" width="14.09765625" customWidth="1"/>
    <col min="10" max="10" width="11.8984375" customWidth="1"/>
    <col min="11" max="11" width="10.3984375" customWidth="1"/>
    <col min="12" max="12" width="9.69921875" bestFit="1" customWidth="1"/>
    <col min="13" max="13" width="4.19921875" customWidth="1"/>
    <col min="14" max="14" width="9" style="18"/>
    <col min="15" max="15" width="10.5" customWidth="1"/>
  </cols>
  <sheetData>
    <row r="1" spans="1:30" ht="16.5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</row>
    <row r="2" spans="1:30" ht="16.5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MACHINE ;</v>
      </c>
    </row>
    <row r="4" spans="1:30" ht="16.5" customHeight="1">
      <c r="A4" s="115" t="s">
        <v>12</v>
      </c>
      <c r="B4" s="115"/>
      <c r="C4" s="115"/>
      <c r="D4" s="115"/>
      <c r="E4" s="6" t="s">
        <v>13</v>
      </c>
      <c r="F4" s="136" t="s">
        <v>47</v>
      </c>
      <c r="G4" s="136"/>
      <c r="H4" s="136"/>
      <c r="I4" s="5" t="s">
        <v>14</v>
      </c>
      <c r="J4" s="122" t="s">
        <v>48</v>
      </c>
      <c r="K4" s="123"/>
      <c r="L4" s="124"/>
      <c r="M4" s="36"/>
      <c r="N4" s="20"/>
      <c r="O4" s="17"/>
    </row>
    <row r="5" spans="1:30" ht="16.5" customHeight="1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" t="s">
        <v>33</v>
      </c>
      <c r="J5" s="122"/>
      <c r="K5" s="123"/>
      <c r="L5" s="124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19" t="str">
        <f>CONCATENATE("CREATE TABLE ",$F$4," (")</f>
        <v>CREATE TABLE MACHINE (</v>
      </c>
      <c r="O6" s="8"/>
      <c r="Q6" s="32"/>
      <c r="R6" s="32"/>
      <c r="S6" s="32"/>
      <c r="T6" s="32"/>
      <c r="U6" s="32" t="str">
        <f>CONCATENATE( "COMMENT ON TABLE ",$F$4," IS '", $J$4,"' ;")</f>
        <v>COMMENT ON TABLE MACHINE IS '기계'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101" t="s">
        <v>77</v>
      </c>
      <c r="C7" s="59" t="s">
        <v>41</v>
      </c>
      <c r="D7" s="59" t="s">
        <v>44</v>
      </c>
      <c r="E7" s="59" t="s">
        <v>46</v>
      </c>
      <c r="F7" s="61">
        <v>5</v>
      </c>
      <c r="G7" s="95" t="s">
        <v>25</v>
      </c>
      <c r="H7" s="95" t="s">
        <v>26</v>
      </c>
      <c r="I7" s="96"/>
      <c r="J7" s="111"/>
      <c r="K7" s="111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MACHINE.MachineID IS '기계ID' ;</v>
      </c>
    </row>
    <row r="8" spans="1:30" s="3" customFormat="1" ht="15.6">
      <c r="A8" s="104">
        <v>2</v>
      </c>
      <c r="B8" s="101" t="s">
        <v>78</v>
      </c>
      <c r="C8" s="59" t="s">
        <v>42</v>
      </c>
      <c r="D8" s="59"/>
      <c r="E8" s="59" t="s">
        <v>45</v>
      </c>
      <c r="F8" s="59">
        <v>1</v>
      </c>
      <c r="G8" s="95"/>
      <c r="H8" s="98" t="s">
        <v>26</v>
      </c>
      <c r="I8" s="59" t="s">
        <v>43</v>
      </c>
      <c r="J8" s="111"/>
      <c r="K8" s="111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isRunning                      BIT (1)   DEFAULT b'0'  </v>
      </c>
      <c r="O8" s="8"/>
      <c r="U8" s="32" t="str">
        <f>CONCATENATE( "COMMENT ON COLUMN ",$F$4,".",B8," IS '", C8, IF(LEN(J8) = 0, "",CONCATENATE("  ( ",J8, " )")),"' ;")</f>
        <v>COMMENT ON COLUMN MACHINE.isRunning IS '가용여부' ;</v>
      </c>
    </row>
    <row r="9" spans="1:30" s="27" customFormat="1" ht="15.6">
      <c r="A9" s="104">
        <v>3</v>
      </c>
      <c r="B9" s="101"/>
      <c r="C9" s="101"/>
      <c r="D9" s="95"/>
      <c r="E9" s="95"/>
      <c r="F9" s="95"/>
      <c r="G9" s="95"/>
      <c r="H9" s="95" t="s">
        <v>26</v>
      </c>
      <c r="I9" s="96"/>
      <c r="J9" s="111"/>
      <c r="K9" s="111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28"/>
      <c r="U9" s="32" t="str">
        <f t="shared" si="0"/>
        <v>COMMENT ON COLUMN MACHINE. IS '' ;</v>
      </c>
    </row>
    <row r="10" spans="1:30" s="27" customFormat="1" ht="15.6">
      <c r="A10" s="104">
        <v>4</v>
      </c>
      <c r="B10" s="101"/>
      <c r="C10" s="101"/>
      <c r="D10" s="95"/>
      <c r="E10" s="95"/>
      <c r="F10" s="95"/>
      <c r="G10" s="95"/>
      <c r="H10" s="95" t="s">
        <v>26</v>
      </c>
      <c r="I10" s="96"/>
      <c r="J10" s="111"/>
      <c r="K10" s="111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28"/>
      <c r="U10" s="32" t="str">
        <f t="shared" si="0"/>
        <v>COMMENT ON COLUMN MACHINE. IS '' ;</v>
      </c>
    </row>
    <row r="11" spans="1:30" s="27" customFormat="1" ht="15.6">
      <c r="A11" s="104">
        <v>5</v>
      </c>
      <c r="B11" s="101"/>
      <c r="C11" s="101"/>
      <c r="D11" s="95"/>
      <c r="E11" s="95"/>
      <c r="F11" s="95"/>
      <c r="G11" s="95"/>
      <c r="H11" s="95" t="s">
        <v>26</v>
      </c>
      <c r="I11" s="96"/>
      <c r="J11" s="111"/>
      <c r="K11" s="111"/>
      <c r="L11" s="97"/>
      <c r="M11" s="28"/>
      <c r="N11" s="19" t="str">
        <f t="shared" si="1"/>
        <v>) Tablespace TS_HEMR_DATA ;</v>
      </c>
      <c r="O11" s="28"/>
      <c r="U11" s="32" t="str">
        <f t="shared" si="0"/>
        <v>COMMENT ON COLUMN MACHINE. IS '' ;</v>
      </c>
    </row>
    <row r="12" spans="1:30" s="27" customFormat="1" ht="15.6">
      <c r="A12" s="104">
        <v>6</v>
      </c>
      <c r="B12" s="101"/>
      <c r="C12" s="101"/>
      <c r="D12" s="95"/>
      <c r="E12" s="95"/>
      <c r="F12" s="95"/>
      <c r="G12" s="95"/>
      <c r="H12" s="95" t="s">
        <v>26</v>
      </c>
      <c r="I12" s="96"/>
      <c r="J12" s="111"/>
      <c r="K12" s="111"/>
      <c r="L12" s="97"/>
      <c r="M12" s="28"/>
      <c r="N12" s="19" t="str">
        <f>IF(B12&lt;&gt;"",CONCATENATE(B12, REPT(" ", 31 - LEN(B12)),E12," ", IF(LEN(F12)&gt;0, CONCATENATE("(",F12,")"), " "), "  ", IF(I12&lt;&gt;"", CONCATENATE(" DEFAULT ", I12,""), ""  ), IF(D12="N", " NOT NULL ", " "),   IF(B14&lt;&gt;""," ,"," ")), ") Tablespace TS_HEMR_DATA ;" )</f>
        <v>) Tablespace TS_HEMR_DATA ;</v>
      </c>
      <c r="O12" s="28"/>
      <c r="U12" s="32" t="str">
        <f t="shared" si="0"/>
        <v>COMMENT ON COLUMN MACHINE. IS '' ;</v>
      </c>
    </row>
    <row r="13" spans="1:30" s="27" customFormat="1" ht="15.6">
      <c r="A13" s="104">
        <v>7</v>
      </c>
      <c r="B13" s="101"/>
      <c r="C13" s="101"/>
      <c r="D13" s="95"/>
      <c r="E13" s="95"/>
      <c r="F13" s="95"/>
      <c r="G13" s="95"/>
      <c r="H13" s="95"/>
      <c r="I13" s="96"/>
      <c r="J13" s="137"/>
      <c r="K13" s="137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IF(B15&lt;&gt;""," ,"," ")), ") Tablespace TS_HEMR_DATA ;" )</f>
        <v>) Tablespace TS_HEMR_DATA ;</v>
      </c>
      <c r="O13" s="28"/>
      <c r="U13" s="32" t="str">
        <f t="shared" si="0"/>
        <v>COMMENT ON COLUMN MACHINE. IS '' ;</v>
      </c>
    </row>
    <row r="14" spans="1:30" s="27" customFormat="1" ht="15.6">
      <c r="A14" s="104">
        <v>8</v>
      </c>
      <c r="B14" s="101"/>
      <c r="C14" s="101"/>
      <c r="D14" s="95"/>
      <c r="E14" s="95"/>
      <c r="F14" s="95"/>
      <c r="G14" s="95"/>
      <c r="H14" s="95" t="s">
        <v>26</v>
      </c>
      <c r="I14" s="96"/>
      <c r="J14" s="111"/>
      <c r="K14" s="111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28"/>
      <c r="U14" s="32" t="str">
        <f t="shared" si="0"/>
        <v>COMMENT ON COLUMN MACHINE. IS '' ;</v>
      </c>
    </row>
    <row r="15" spans="1:30" s="27" customFormat="1" ht="15.6">
      <c r="A15" s="104">
        <v>9</v>
      </c>
      <c r="B15" s="101"/>
      <c r="C15" s="110"/>
      <c r="D15" s="108"/>
      <c r="E15" s="95"/>
      <c r="F15" s="95"/>
      <c r="G15" s="95"/>
      <c r="H15" s="95" t="s">
        <v>26</v>
      </c>
      <c r="I15" s="100"/>
      <c r="J15" s="111"/>
      <c r="K15" s="111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MACHINE. IS '' ;</v>
      </c>
    </row>
    <row r="16" spans="1:30" s="27" customFormat="1" ht="15.6">
      <c r="A16" s="104">
        <v>10</v>
      </c>
      <c r="B16" s="101"/>
      <c r="C16" s="101"/>
      <c r="D16" s="95"/>
      <c r="E16" s="95"/>
      <c r="F16" s="95"/>
      <c r="G16" s="95"/>
      <c r="H16" s="95" t="s">
        <v>26</v>
      </c>
      <c r="I16" s="96"/>
      <c r="J16" s="111"/>
      <c r="K16" s="111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MACHINE. IS '' ;</v>
      </c>
    </row>
    <row r="17" spans="1:21" s="3" customFormat="1" ht="15.6">
      <c r="A17" s="104">
        <v>11</v>
      </c>
      <c r="B17" s="101"/>
      <c r="C17" s="101"/>
      <c r="D17" s="95"/>
      <c r="E17" s="95"/>
      <c r="F17" s="95"/>
      <c r="G17" s="95"/>
      <c r="H17" s="95" t="s">
        <v>26</v>
      </c>
      <c r="I17" s="96"/>
      <c r="J17" s="111"/>
      <c r="K17" s="111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MACHINE. IS '' ;</v>
      </c>
    </row>
    <row r="18" spans="1:21" s="3" customFormat="1" ht="15.6">
      <c r="A18" s="104">
        <v>12</v>
      </c>
      <c r="B18" s="101"/>
      <c r="C18" s="101"/>
      <c r="D18" s="95"/>
      <c r="E18" s="95"/>
      <c r="F18" s="95"/>
      <c r="G18" s="95"/>
      <c r="H18" s="95" t="s">
        <v>26</v>
      </c>
      <c r="I18" s="96"/>
      <c r="J18" s="111"/>
      <c r="K18" s="111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MACHINE. IS '' ;</v>
      </c>
    </row>
    <row r="19" spans="1:21" s="3" customFormat="1" ht="15.6">
      <c r="A19" s="104">
        <v>13</v>
      </c>
      <c r="B19" s="101"/>
      <c r="C19" s="101"/>
      <c r="D19" s="95"/>
      <c r="E19" s="95"/>
      <c r="F19" s="95"/>
      <c r="G19" s="95"/>
      <c r="H19" s="95"/>
      <c r="I19" s="96"/>
      <c r="J19" s="137"/>
      <c r="K19" s="137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MACHINE. IS '' ;</v>
      </c>
    </row>
    <row r="20" spans="1:21" s="3" customFormat="1" ht="15.6">
      <c r="A20" s="104">
        <v>14</v>
      </c>
      <c r="B20" s="101"/>
      <c r="C20" s="101"/>
      <c r="D20" s="95"/>
      <c r="E20" s="95"/>
      <c r="F20" s="95"/>
      <c r="G20" s="95"/>
      <c r="H20" s="95"/>
      <c r="I20" s="96"/>
      <c r="J20" s="111"/>
      <c r="K20" s="111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MACHINE. IS '' ;</v>
      </c>
    </row>
    <row r="21" spans="1:21" s="3" customFormat="1" ht="15.6">
      <c r="A21" s="104">
        <v>15</v>
      </c>
      <c r="B21" s="101"/>
      <c r="C21" s="101"/>
      <c r="D21" s="95"/>
      <c r="E21" s="95"/>
      <c r="F21" s="95"/>
      <c r="G21" s="95"/>
      <c r="H21" s="95"/>
      <c r="I21" s="96"/>
      <c r="J21" s="111"/>
      <c r="K21" s="111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MACHINE. IS '' ;</v>
      </c>
    </row>
    <row r="22" spans="1:21" s="3" customFormat="1" ht="15.6">
      <c r="A22" s="104">
        <v>16</v>
      </c>
      <c r="B22" s="101"/>
      <c r="C22" s="101"/>
      <c r="D22" s="95"/>
      <c r="E22" s="95"/>
      <c r="F22" s="95"/>
      <c r="G22" s="95"/>
      <c r="H22" s="95"/>
      <c r="I22" s="96"/>
      <c r="J22" s="111"/>
      <c r="K22" s="111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MACHINE. IS '' ;</v>
      </c>
    </row>
    <row r="23" spans="1:21" s="3" customFormat="1" ht="13.5" customHeight="1">
      <c r="A23" s="104">
        <v>17</v>
      </c>
      <c r="B23" s="101"/>
      <c r="C23" s="101"/>
      <c r="D23" s="95"/>
      <c r="E23" s="95"/>
      <c r="F23" s="95"/>
      <c r="G23" s="95"/>
      <c r="H23" s="95"/>
      <c r="I23" s="96"/>
      <c r="J23" s="111"/>
      <c r="K23" s="111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MACHINE. IS '' ;</v>
      </c>
    </row>
    <row r="24" spans="1:21" s="3" customFormat="1" ht="15.6">
      <c r="A24" s="104">
        <v>18</v>
      </c>
      <c r="B24" s="101"/>
      <c r="C24" s="101"/>
      <c r="D24" s="95"/>
      <c r="E24" s="95"/>
      <c r="F24" s="95"/>
      <c r="G24" s="95"/>
      <c r="H24" s="95"/>
      <c r="I24" s="96"/>
      <c r="J24" s="111"/>
      <c r="K24" s="111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MACHINE.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1"/>
      <c r="K25" s="111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MACHINE. IS '' ;</v>
      </c>
    </row>
    <row r="26" spans="1:21" s="3" customFormat="1" ht="15.6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1"/>
      <c r="K26" s="111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MACHINE. IS '' ;</v>
      </c>
    </row>
    <row r="27" spans="1:21" s="3" customFormat="1" ht="15.6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1"/>
      <c r="K27" s="111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MACHINE. IS '' ;</v>
      </c>
    </row>
    <row r="28" spans="1:21" s="3" customFormat="1" ht="15.6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1"/>
      <c r="K28" s="111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MACHINE. IS '' ;</v>
      </c>
    </row>
    <row r="29" spans="1:21" s="3" customFormat="1" ht="15.6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1"/>
      <c r="K29" s="111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MACHINE. IS '' ;</v>
      </c>
    </row>
    <row r="30" spans="1:21" s="3" customFormat="1" ht="15.6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1"/>
      <c r="K30" s="111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MACHINE. IS '' ;</v>
      </c>
    </row>
    <row r="31" spans="1:21" s="3" customFormat="1" ht="15.6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1"/>
      <c r="K31" s="111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MACHINE. IS '' ;</v>
      </c>
    </row>
    <row r="32" spans="1:21" s="3" customFormat="1" ht="15.6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1"/>
      <c r="K32" s="111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MACHINE. IS '' ;</v>
      </c>
    </row>
    <row r="33" spans="1:21" s="3" customFormat="1" ht="15.6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1"/>
      <c r="K33" s="111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MACHINE. IS '' ;</v>
      </c>
    </row>
    <row r="34" spans="1:21" s="3" customFormat="1" ht="15.6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1"/>
      <c r="K34" s="111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MACHINE. IS '' ;</v>
      </c>
    </row>
    <row r="35" spans="1:21" s="3" customFormat="1" ht="15.6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1"/>
      <c r="K35" s="111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MACHINE. IS '' ;</v>
      </c>
    </row>
    <row r="36" spans="1:21" s="3" customFormat="1" ht="15.6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1"/>
      <c r="K36" s="111"/>
      <c r="L36" s="97"/>
      <c r="M36" s="8"/>
      <c r="N36" s="19"/>
      <c r="O36" s="8"/>
      <c r="U36" s="32"/>
    </row>
    <row r="37" spans="1:21" s="3" customFormat="1" ht="15.6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1"/>
      <c r="K37" s="111"/>
      <c r="L37" s="97"/>
      <c r="M37" s="8"/>
      <c r="N37" s="19"/>
      <c r="O37" s="8"/>
      <c r="U37" s="32"/>
    </row>
    <row r="38" spans="1:21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19"/>
      <c r="O38" s="8"/>
      <c r="U38" s="32"/>
    </row>
    <row r="39" spans="1:21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24"/>
      <c r="K39" s="24"/>
      <c r="L39" s="28"/>
      <c r="M39" s="8"/>
      <c r="N39" s="19" t="s">
        <v>37</v>
      </c>
      <c r="O39" s="8"/>
      <c r="U39" s="32"/>
    </row>
    <row r="40" spans="1:21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5.6">
      <c r="A41" s="39"/>
      <c r="B41" s="26"/>
      <c r="C41" s="26"/>
      <c r="D41" s="25"/>
      <c r="E41" s="25"/>
      <c r="F41" s="25"/>
      <c r="G41" s="25"/>
      <c r="H41" s="25"/>
      <c r="I41" s="26"/>
      <c r="J41" s="24"/>
      <c r="K41" s="24"/>
      <c r="L41" s="8"/>
      <c r="M41" s="8"/>
      <c r="N41" s="22"/>
      <c r="O41" s="8"/>
    </row>
    <row r="42" spans="1:21" s="2" customFormat="1" ht="15.6">
      <c r="A42" s="31" t="s">
        <v>11</v>
      </c>
      <c r="B42" s="31" t="s">
        <v>31</v>
      </c>
      <c r="C42" s="142" t="s">
        <v>15</v>
      </c>
      <c r="D42" s="142"/>
      <c r="E42" s="142"/>
      <c r="F42" s="142"/>
      <c r="G42" s="142"/>
      <c r="H42" s="31" t="s">
        <v>28</v>
      </c>
      <c r="I42" s="31" t="s">
        <v>17</v>
      </c>
      <c r="J42" s="144" t="s">
        <v>29</v>
      </c>
      <c r="K42" s="145"/>
      <c r="L42" s="146"/>
      <c r="M42" s="38"/>
      <c r="N42" s="21"/>
      <c r="O42" s="4"/>
    </row>
    <row r="43" spans="1:21" s="2" customFormat="1" ht="15.6">
      <c r="A43" s="7">
        <v>1</v>
      </c>
      <c r="B43" s="9"/>
      <c r="C43" s="143"/>
      <c r="D43" s="143"/>
      <c r="E43" s="143"/>
      <c r="F43" s="143"/>
      <c r="G43" s="143"/>
      <c r="H43" s="7"/>
      <c r="I43" s="29"/>
      <c r="J43" s="139"/>
      <c r="K43" s="140"/>
      <c r="L43" s="141"/>
      <c r="M43" s="33"/>
      <c r="N43" s="21" t="str">
        <f>CONCATENATE("CREATE ", IF(H43&lt;&gt;"", "UNIQUE ", ""),"INDEX ", B43, " ON ", $F$4, "( ",C43, " ) " )</f>
        <v xml:space="preserve">CREATE INDEX  ON MACHINE(  ) </v>
      </c>
      <c r="O43" s="4"/>
    </row>
    <row r="44" spans="1:21" s="2" customFormat="1" ht="15.6">
      <c r="A44" s="48">
        <v>2</v>
      </c>
      <c r="B44" s="49"/>
      <c r="C44" s="138"/>
      <c r="D44" s="138"/>
      <c r="E44" s="138"/>
      <c r="F44" s="138"/>
      <c r="G44" s="138"/>
      <c r="H44" s="7"/>
      <c r="I44" s="29"/>
      <c r="J44" s="139"/>
      <c r="K44" s="140"/>
      <c r="L44" s="141"/>
      <c r="M44" s="40"/>
      <c r="N44" s="21" t="str">
        <f t="shared" ref="N44:N46" si="2">CONCATENATE("CREATE ", IF(H44&lt;&gt;"", "UNIQUE ", ""),"INDEX ", B44, " ON ", $F$4, "( ",C44, " ) " )</f>
        <v xml:space="preserve">CREATE INDEX  ON MACHINE(  ) </v>
      </c>
      <c r="O44" s="4"/>
    </row>
    <row r="45" spans="1:21" s="2" customFormat="1" ht="15.6">
      <c r="A45" s="48">
        <v>3</v>
      </c>
      <c r="B45" s="49"/>
      <c r="C45" s="138"/>
      <c r="D45" s="138"/>
      <c r="E45" s="138"/>
      <c r="F45" s="138"/>
      <c r="G45" s="138"/>
      <c r="H45" s="7"/>
      <c r="I45" s="29"/>
      <c r="J45" s="45"/>
      <c r="K45" s="46"/>
      <c r="L45" s="47"/>
      <c r="M45" s="40"/>
      <c r="N45" s="21" t="str">
        <f t="shared" si="2"/>
        <v xml:space="preserve">CREATE INDEX  ON MACHINE(  ) </v>
      </c>
      <c r="O45" s="4"/>
    </row>
    <row r="46" spans="1:21" s="2" customFormat="1" ht="15.6">
      <c r="A46" s="48">
        <v>4</v>
      </c>
      <c r="B46" s="49"/>
      <c r="C46" s="138"/>
      <c r="D46" s="138"/>
      <c r="E46" s="138"/>
      <c r="F46" s="138"/>
      <c r="G46" s="138"/>
      <c r="H46" s="7"/>
      <c r="I46" s="29"/>
      <c r="J46" s="139"/>
      <c r="K46" s="140"/>
      <c r="L46" s="141"/>
      <c r="M46" s="40"/>
      <c r="N46" s="21" t="str">
        <f t="shared" si="2"/>
        <v xml:space="preserve">CREATE INDEX  ON MACHINE(  ) </v>
      </c>
      <c r="O46" s="4"/>
    </row>
    <row r="47" spans="1:21" s="2" customFormat="1" ht="15.6">
      <c r="B47" s="2">
        <f>LEN(B43)</f>
        <v>0</v>
      </c>
      <c r="N47" s="22"/>
    </row>
    <row r="48" spans="1:21" s="2" customFormat="1" ht="15.6">
      <c r="N48" s="22"/>
    </row>
    <row r="49" spans="14:14" s="2" customFormat="1" ht="15.6">
      <c r="N49" s="22"/>
    </row>
    <row r="50" spans="14:14" s="2" customFormat="1" ht="15.6">
      <c r="N50" s="22"/>
    </row>
    <row r="51" spans="14:14" s="2" customFormat="1" ht="15.6">
      <c r="N51" s="22"/>
    </row>
    <row r="52" spans="14:14" s="2" customFormat="1" ht="15.6">
      <c r="N52" s="22"/>
    </row>
    <row r="53" spans="14:14" s="2" customFormat="1" ht="15.6">
      <c r="N53" s="22"/>
    </row>
    <row r="54" spans="14:14" s="2" customFormat="1" ht="15.6">
      <c r="N54" s="22"/>
    </row>
    <row r="55" spans="14:14" s="2" customFormat="1" ht="15.6">
      <c r="N55" s="22"/>
    </row>
    <row r="56" spans="14:14" s="2" customFormat="1" ht="15.6">
      <c r="N56" s="22"/>
    </row>
    <row r="57" spans="14:14" s="2" customFormat="1" ht="15.6">
      <c r="N57" s="22"/>
    </row>
  </sheetData>
  <mergeCells count="60">
    <mergeCell ref="C44:G44"/>
    <mergeCell ref="J44:L44"/>
    <mergeCell ref="C46:G46"/>
    <mergeCell ref="J46:L46"/>
    <mergeCell ref="J17:K17"/>
    <mergeCell ref="J18:K18"/>
    <mergeCell ref="C42:G42"/>
    <mergeCell ref="C43:G43"/>
    <mergeCell ref="J43:L43"/>
    <mergeCell ref="J42:L42"/>
    <mergeCell ref="C45:G45"/>
    <mergeCell ref="J19:K19"/>
    <mergeCell ref="J20:K20"/>
    <mergeCell ref="J21:K21"/>
    <mergeCell ref="J22:K22"/>
    <mergeCell ref="J23:K23"/>
    <mergeCell ref="J11:K11"/>
    <mergeCell ref="J12:K12"/>
    <mergeCell ref="J14:K14"/>
    <mergeCell ref="J15:K15"/>
    <mergeCell ref="J16:K16"/>
    <mergeCell ref="J13:K13"/>
    <mergeCell ref="J9:K9"/>
    <mergeCell ref="J10:K10"/>
    <mergeCell ref="A4:B4"/>
    <mergeCell ref="C4:D4"/>
    <mergeCell ref="F4:H4"/>
    <mergeCell ref="J8:K8"/>
    <mergeCell ref="J7:K7"/>
    <mergeCell ref="A1:B1"/>
    <mergeCell ref="E1:E2"/>
    <mergeCell ref="A2:B2"/>
    <mergeCell ref="A3:B3"/>
    <mergeCell ref="J6:K6"/>
    <mergeCell ref="J4:L4"/>
    <mergeCell ref="A5:B5"/>
    <mergeCell ref="C5:D5"/>
    <mergeCell ref="E5:F5"/>
    <mergeCell ref="G5:H5"/>
    <mergeCell ref="J5:L5"/>
    <mergeCell ref="C1:D1"/>
    <mergeCell ref="C2:D2"/>
    <mergeCell ref="C3:D3"/>
    <mergeCell ref="F1:H2"/>
    <mergeCell ref="F3:H3"/>
    <mergeCell ref="J24:K24"/>
    <mergeCell ref="J25:K25"/>
    <mergeCell ref="J26:K26"/>
    <mergeCell ref="J27:K27"/>
    <mergeCell ref="J28:K28"/>
    <mergeCell ref="J29:K29"/>
    <mergeCell ref="J30:K30"/>
    <mergeCell ref="J31:K31"/>
    <mergeCell ref="J32:K32"/>
    <mergeCell ref="J38:K38"/>
    <mergeCell ref="J33:K33"/>
    <mergeCell ref="J34:K34"/>
    <mergeCell ref="J35:K35"/>
    <mergeCell ref="J36:K36"/>
    <mergeCell ref="J37:K3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518160</xdr:colOff>
                    <xdr:row>0</xdr:row>
                    <xdr:rowOff>22860</xdr:rowOff>
                  </from>
                  <to>
                    <xdr:col>14</xdr:col>
                    <xdr:colOff>502920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FF8D4-2161-4373-A28F-66D85F396F98}">
  <sheetPr codeName="Sheet2"/>
  <dimension ref="A1:AD57"/>
  <sheetViews>
    <sheetView workbookViewId="0">
      <selection activeCell="B7" sqref="B7:L37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3.59765625" bestFit="1" customWidth="1"/>
    <col min="8" max="8" width="8" bestFit="1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9" style="18"/>
    <col min="15" max="15" width="10.5" customWidth="1"/>
  </cols>
  <sheetData>
    <row r="1" spans="1:30" ht="16.5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</row>
    <row r="2" spans="1:30" ht="16.5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EMPLOYEES ;</v>
      </c>
    </row>
    <row r="4" spans="1:30" ht="16.5" customHeight="1">
      <c r="A4" s="115" t="s">
        <v>12</v>
      </c>
      <c r="B4" s="115"/>
      <c r="C4" s="115"/>
      <c r="D4" s="115"/>
      <c r="E4" s="6" t="s">
        <v>13</v>
      </c>
      <c r="F4" s="136" t="s">
        <v>57</v>
      </c>
      <c r="G4" s="136"/>
      <c r="H4" s="136"/>
      <c r="I4" s="55" t="s">
        <v>14</v>
      </c>
      <c r="J4" s="122" t="s">
        <v>58</v>
      </c>
      <c r="K4" s="123"/>
      <c r="L4" s="124"/>
      <c r="M4" s="36"/>
      <c r="N4" s="20"/>
      <c r="O4" s="17"/>
    </row>
    <row r="5" spans="1:30" ht="16.5" customHeight="1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5" t="s">
        <v>33</v>
      </c>
      <c r="J5" s="122"/>
      <c r="K5" s="123"/>
      <c r="L5" s="124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19" t="str">
        <f>CONCATENATE("CREATE TABLE ",$F$4," (")</f>
        <v>CREATE TABLE EMPLOYEES (</v>
      </c>
      <c r="O6" s="8"/>
      <c r="Q6" s="32"/>
      <c r="R6" s="32"/>
      <c r="S6" s="32"/>
      <c r="T6" s="32"/>
      <c r="U6" s="32" t="str">
        <f>CONCATENATE( "COMMENT ON TABLE ",$F$4," IS '", $J$4,"' ;")</f>
        <v>COMMENT ON TABLE EMPLOYEES IS '직원'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59" t="s">
        <v>79</v>
      </c>
      <c r="C7" s="59" t="s">
        <v>49</v>
      </c>
      <c r="D7" s="60" t="s">
        <v>59</v>
      </c>
      <c r="E7" s="59" t="s">
        <v>46</v>
      </c>
      <c r="F7" s="59">
        <v>5</v>
      </c>
      <c r="G7" s="95" t="s">
        <v>25</v>
      </c>
      <c r="H7" s="95" t="s">
        <v>26</v>
      </c>
      <c r="I7" s="96"/>
      <c r="J7" s="111"/>
      <c r="K7" s="111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EmployeeCode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EMPLOYEES.EmployeeCode IS '직원ID' ;</v>
      </c>
    </row>
    <row r="8" spans="1:30" s="3" customFormat="1" ht="15.6">
      <c r="A8" s="104">
        <v>2</v>
      </c>
      <c r="B8" s="59" t="s">
        <v>80</v>
      </c>
      <c r="C8" s="59" t="s">
        <v>50</v>
      </c>
      <c r="D8" s="60" t="s">
        <v>59</v>
      </c>
      <c r="E8" s="59" t="s">
        <v>61</v>
      </c>
      <c r="F8" s="61">
        <v>30</v>
      </c>
      <c r="G8" s="95"/>
      <c r="H8" s="98" t="s">
        <v>26</v>
      </c>
      <c r="I8" s="59"/>
      <c r="J8" s="111"/>
      <c r="K8" s="111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Name                           VARCHAR (30)   NOT NULL  ,</v>
      </c>
      <c r="O8" s="8"/>
      <c r="U8" s="32" t="str">
        <f>CONCATENATE( "COMMENT ON COLUMN ",$F$4,".",B8," IS '", C8, IF(LEN(J8) = 0, "",CONCATENATE("  ( ",J8, " )")),"' ;")</f>
        <v>COMMENT ON COLUMN EMPLOYEES.Name IS '이름' ;</v>
      </c>
    </row>
    <row r="9" spans="1:30" s="27" customFormat="1" ht="15.6">
      <c r="A9" s="104">
        <v>3</v>
      </c>
      <c r="B9" s="61" t="s">
        <v>81</v>
      </c>
      <c r="C9" s="62" t="s">
        <v>51</v>
      </c>
      <c r="D9" s="60"/>
      <c r="E9" s="59" t="s">
        <v>61</v>
      </c>
      <c r="F9" s="61">
        <v>14</v>
      </c>
      <c r="G9" s="95"/>
      <c r="H9" s="95" t="s">
        <v>26</v>
      </c>
      <c r="I9" s="96"/>
      <c r="J9" s="111"/>
      <c r="K9" s="111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Phone                          VARCHAR (14)    ,</v>
      </c>
      <c r="O9" s="28"/>
      <c r="U9" s="32" t="str">
        <f t="shared" si="0"/>
        <v>COMMENT ON COLUMN EMPLOYEES.Phone IS '핸드폰' ;</v>
      </c>
    </row>
    <row r="10" spans="1:30" s="27" customFormat="1" ht="15.6">
      <c r="A10" s="104">
        <v>4</v>
      </c>
      <c r="B10" s="61" t="s">
        <v>82</v>
      </c>
      <c r="C10" s="62" t="s">
        <v>52</v>
      </c>
      <c r="D10" s="60"/>
      <c r="E10" s="59" t="s">
        <v>61</v>
      </c>
      <c r="F10" s="61">
        <v>30</v>
      </c>
      <c r="G10" s="95"/>
      <c r="H10" s="95" t="s">
        <v>26</v>
      </c>
      <c r="I10" s="96"/>
      <c r="J10" s="111"/>
      <c r="K10" s="111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Email                          VARCHAR (30)    ,</v>
      </c>
      <c r="O10" s="28"/>
      <c r="U10" s="32" t="str">
        <f t="shared" si="0"/>
        <v>COMMENT ON COLUMN EMPLOYEES.Email IS '이메일' ;</v>
      </c>
    </row>
    <row r="11" spans="1:30" s="27" customFormat="1" ht="15.6">
      <c r="A11" s="104">
        <v>5</v>
      </c>
      <c r="B11" s="61" t="s">
        <v>83</v>
      </c>
      <c r="C11" s="62" t="s">
        <v>53</v>
      </c>
      <c r="D11" s="60"/>
      <c r="E11" s="59" t="s">
        <v>61</v>
      </c>
      <c r="F11" s="61">
        <v>50</v>
      </c>
      <c r="G11" s="95"/>
      <c r="H11" s="95" t="s">
        <v>26</v>
      </c>
      <c r="I11" s="96"/>
      <c r="J11" s="111"/>
      <c r="K11" s="111"/>
      <c r="L11" s="97"/>
      <c r="M11" s="28"/>
      <c r="N11" s="19" t="str">
        <f t="shared" si="1"/>
        <v>Addr                           VARCHAR (50)    ,</v>
      </c>
      <c r="O11" s="28"/>
      <c r="U11" s="32" t="str">
        <f t="shared" si="0"/>
        <v>COMMENT ON COLUMN EMPLOYEES.Addr IS '주소' ;</v>
      </c>
    </row>
    <row r="12" spans="1:30" s="27" customFormat="1" ht="19.5" customHeight="1">
      <c r="A12" s="104">
        <v>6</v>
      </c>
      <c r="B12" s="63" t="s">
        <v>84</v>
      </c>
      <c r="C12" s="59" t="s">
        <v>54</v>
      </c>
      <c r="D12" s="60" t="s">
        <v>59</v>
      </c>
      <c r="E12" s="59" t="s">
        <v>61</v>
      </c>
      <c r="F12" s="59">
        <v>10</v>
      </c>
      <c r="G12" s="95"/>
      <c r="H12" s="95" t="s">
        <v>26</v>
      </c>
      <c r="I12" s="96"/>
      <c r="J12" s="111" t="s">
        <v>60</v>
      </c>
      <c r="K12" s="111"/>
      <c r="L12" s="97"/>
      <c r="M12" s="28"/>
      <c r="N12" s="19" t="str">
        <f t="shared" si="1"/>
        <v>Authority                      VARCHAR (10)   NOT NULL  ,</v>
      </c>
      <c r="O12" s="28"/>
      <c r="U12" s="32" t="str">
        <f t="shared" si="0"/>
        <v>COMMENT ON COLUMN EMPLOYEES.Authority IS '권한  ( 관리자/ 직원 )' ;</v>
      </c>
    </row>
    <row r="13" spans="1:30" s="27" customFormat="1" ht="15.6">
      <c r="A13" s="104">
        <v>7</v>
      </c>
      <c r="B13" s="61" t="s">
        <v>85</v>
      </c>
      <c r="C13" s="59" t="s">
        <v>55</v>
      </c>
      <c r="D13" s="60" t="s">
        <v>59</v>
      </c>
      <c r="E13" s="59" t="s">
        <v>61</v>
      </c>
      <c r="F13" s="61">
        <v>20</v>
      </c>
      <c r="G13" s="95"/>
      <c r="H13" s="95"/>
      <c r="I13" s="96"/>
      <c r="J13" s="137"/>
      <c r="K13" s="137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ID                             VARCHAR (20)   NOT NULL  ,</v>
      </c>
      <c r="O13" s="28"/>
      <c r="U13" s="32" t="str">
        <f t="shared" si="0"/>
        <v>COMMENT ON COLUMN EMPLOYEES.ID IS '아이디' ;</v>
      </c>
    </row>
    <row r="14" spans="1:30" s="27" customFormat="1" ht="15.6">
      <c r="A14" s="104">
        <v>8</v>
      </c>
      <c r="B14" s="61" t="s">
        <v>86</v>
      </c>
      <c r="C14" s="59" t="s">
        <v>56</v>
      </c>
      <c r="D14" s="60" t="s">
        <v>59</v>
      </c>
      <c r="E14" s="59" t="s">
        <v>61</v>
      </c>
      <c r="F14" s="61">
        <v>20</v>
      </c>
      <c r="G14" s="95"/>
      <c r="H14" s="95" t="s">
        <v>26</v>
      </c>
      <c r="I14" s="96"/>
      <c r="J14" s="111"/>
      <c r="K14" s="111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Password                       VARCHAR (20)   NOT NULL  </v>
      </c>
      <c r="O14" s="28"/>
      <c r="U14" s="32" t="str">
        <f t="shared" si="0"/>
        <v>COMMENT ON COLUMN EMPLOYEES.Password IS '비밀번호' ;</v>
      </c>
    </row>
    <row r="15" spans="1:30" s="27" customFormat="1" ht="15.6">
      <c r="A15" s="104">
        <v>9</v>
      </c>
      <c r="B15" s="61"/>
      <c r="C15" s="61"/>
      <c r="D15" s="61"/>
      <c r="E15" s="61"/>
      <c r="F15" s="61"/>
      <c r="G15" s="95"/>
      <c r="H15" s="95" t="s">
        <v>26</v>
      </c>
      <c r="I15" s="100"/>
      <c r="J15" s="111"/>
      <c r="K15" s="111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EMPLOYEES. IS '' ;</v>
      </c>
    </row>
    <row r="16" spans="1:30" s="27" customFormat="1" ht="15.6">
      <c r="A16" s="104">
        <v>10</v>
      </c>
      <c r="B16" s="101"/>
      <c r="C16" s="101"/>
      <c r="D16" s="95"/>
      <c r="E16" s="95"/>
      <c r="F16" s="95"/>
      <c r="G16" s="95"/>
      <c r="H16" s="95" t="s">
        <v>26</v>
      </c>
      <c r="I16" s="96"/>
      <c r="J16" s="111"/>
      <c r="K16" s="111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EMPLOYEES. IS '' ;</v>
      </c>
    </row>
    <row r="17" spans="1:21" s="3" customFormat="1" ht="15.6">
      <c r="A17" s="104">
        <v>11</v>
      </c>
      <c r="B17" s="101"/>
      <c r="C17" s="101"/>
      <c r="D17" s="59"/>
      <c r="E17" s="95"/>
      <c r="F17" s="95"/>
      <c r="G17" s="95"/>
      <c r="H17" s="95" t="s">
        <v>26</v>
      </c>
      <c r="I17" s="96"/>
      <c r="J17" s="111"/>
      <c r="K17" s="111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EMPLOYEES. IS '' ;</v>
      </c>
    </row>
    <row r="18" spans="1:21" s="3" customFormat="1" ht="15.6">
      <c r="A18" s="104">
        <v>12</v>
      </c>
      <c r="B18" s="101"/>
      <c r="C18" s="101"/>
      <c r="D18" s="59"/>
      <c r="E18" s="95"/>
      <c r="F18" s="95"/>
      <c r="G18" s="95"/>
      <c r="H18" s="95" t="s">
        <v>26</v>
      </c>
      <c r="I18" s="96"/>
      <c r="J18" s="111"/>
      <c r="K18" s="111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EMPLOYEES. IS '' ;</v>
      </c>
    </row>
    <row r="19" spans="1:21" s="3" customFormat="1" ht="15.6">
      <c r="A19" s="104">
        <v>13</v>
      </c>
      <c r="B19" s="101"/>
      <c r="C19" s="101"/>
      <c r="D19" s="62"/>
      <c r="E19" s="95"/>
      <c r="F19" s="95"/>
      <c r="G19" s="95"/>
      <c r="H19" s="95"/>
      <c r="I19" s="96"/>
      <c r="J19" s="137"/>
      <c r="K19" s="137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EMPLOYEES. IS '' ;</v>
      </c>
    </row>
    <row r="20" spans="1:21" s="3" customFormat="1" ht="15.6">
      <c r="A20" s="104">
        <v>14</v>
      </c>
      <c r="B20" s="101"/>
      <c r="C20" s="101"/>
      <c r="D20" s="62"/>
      <c r="E20" s="95"/>
      <c r="F20" s="95"/>
      <c r="G20" s="95"/>
      <c r="H20" s="95"/>
      <c r="I20" s="96"/>
      <c r="J20" s="111"/>
      <c r="K20" s="111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EMPLOYEES. IS '' ;</v>
      </c>
    </row>
    <row r="21" spans="1:21" s="3" customFormat="1" ht="15.6">
      <c r="A21" s="104">
        <v>15</v>
      </c>
      <c r="B21" s="101"/>
      <c r="C21" s="101"/>
      <c r="D21" s="62"/>
      <c r="E21" s="95"/>
      <c r="F21" s="95"/>
      <c r="G21" s="95"/>
      <c r="H21" s="95"/>
      <c r="I21" s="96"/>
      <c r="J21" s="111"/>
      <c r="K21" s="111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EMPLOYEES. IS '' ;</v>
      </c>
    </row>
    <row r="22" spans="1:21" s="3" customFormat="1" ht="15.6">
      <c r="A22" s="104">
        <v>16</v>
      </c>
      <c r="B22" s="101"/>
      <c r="C22" s="101"/>
      <c r="D22" s="59"/>
      <c r="E22" s="95"/>
      <c r="F22" s="95"/>
      <c r="G22" s="95"/>
      <c r="H22" s="95"/>
      <c r="I22" s="96"/>
      <c r="J22" s="111"/>
      <c r="K22" s="111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EMPLOYEES. IS '' ;</v>
      </c>
    </row>
    <row r="23" spans="1:21" s="3" customFormat="1" ht="13.5" customHeight="1">
      <c r="A23" s="104">
        <v>17</v>
      </c>
      <c r="B23" s="101"/>
      <c r="C23" s="101"/>
      <c r="D23" s="59"/>
      <c r="E23" s="95"/>
      <c r="F23" s="95"/>
      <c r="G23" s="95"/>
      <c r="H23" s="95"/>
      <c r="I23" s="96"/>
      <c r="J23" s="111"/>
      <c r="K23" s="111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EMPLOYEES. IS '' ;</v>
      </c>
    </row>
    <row r="24" spans="1:21" s="3" customFormat="1" ht="15.6">
      <c r="A24" s="104">
        <v>18</v>
      </c>
      <c r="B24" s="101"/>
      <c r="C24" s="101"/>
      <c r="D24" s="59"/>
      <c r="E24" s="95"/>
      <c r="F24" s="95"/>
      <c r="G24" s="95"/>
      <c r="H24" s="95"/>
      <c r="I24" s="96"/>
      <c r="J24" s="111"/>
      <c r="K24" s="111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EMPLOYEES.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1"/>
      <c r="K25" s="111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EMPLOYEES. IS '' ;</v>
      </c>
    </row>
    <row r="26" spans="1:21" s="3" customFormat="1" ht="15.6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1"/>
      <c r="K26" s="111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EMPLOYEES. IS '' ;</v>
      </c>
    </row>
    <row r="27" spans="1:21" s="3" customFormat="1" ht="15.6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1"/>
      <c r="K27" s="111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EMPLOYEES. IS '' ;</v>
      </c>
    </row>
    <row r="28" spans="1:21" s="3" customFormat="1" ht="15.6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1"/>
      <c r="K28" s="111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EMPLOYEES. IS '' ;</v>
      </c>
    </row>
    <row r="29" spans="1:21" s="3" customFormat="1" ht="15.6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1"/>
      <c r="K29" s="111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EMPLOYEES. IS '' ;</v>
      </c>
    </row>
    <row r="30" spans="1:21" s="3" customFormat="1" ht="15.6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1"/>
      <c r="K30" s="111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EMPLOYEES. IS '' ;</v>
      </c>
    </row>
    <row r="31" spans="1:21" s="3" customFormat="1" ht="15.6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1"/>
      <c r="K31" s="111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EMPLOYEES. IS '' ;</v>
      </c>
    </row>
    <row r="32" spans="1:21" s="3" customFormat="1" ht="15.6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1"/>
      <c r="K32" s="111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EMPLOYEES. IS '' ;</v>
      </c>
    </row>
    <row r="33" spans="1:21" s="3" customFormat="1" ht="15.6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1"/>
      <c r="K33" s="111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EMPLOYEES. IS '' ;</v>
      </c>
    </row>
    <row r="34" spans="1:21" s="3" customFormat="1" ht="15.6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1"/>
      <c r="K34" s="111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EMPLOYEES. IS '' ;</v>
      </c>
    </row>
    <row r="35" spans="1:21" s="3" customFormat="1" ht="15.6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1"/>
      <c r="K35" s="111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EMPLOYEES. IS '' ;</v>
      </c>
    </row>
    <row r="36" spans="1:21" s="3" customFormat="1" ht="15.6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1"/>
      <c r="K36" s="111"/>
      <c r="L36" s="97"/>
      <c r="M36" s="8"/>
      <c r="N36" s="19"/>
      <c r="O36" s="8"/>
      <c r="U36" s="32"/>
    </row>
    <row r="37" spans="1:21" s="3" customFormat="1" ht="15.6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1"/>
      <c r="K37" s="111"/>
      <c r="L37" s="97"/>
      <c r="M37" s="8"/>
      <c r="N37" s="19"/>
      <c r="O37" s="8"/>
      <c r="U37" s="32"/>
    </row>
    <row r="38" spans="1:21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19"/>
      <c r="O38" s="8"/>
      <c r="U38" s="32"/>
    </row>
    <row r="39" spans="1:21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19" t="s">
        <v>37</v>
      </c>
      <c r="O39" s="8"/>
      <c r="U39" s="32"/>
    </row>
    <row r="40" spans="1:21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1" s="2" customFormat="1" ht="15.6">
      <c r="A42" s="54" t="s">
        <v>11</v>
      </c>
      <c r="B42" s="54" t="s">
        <v>31</v>
      </c>
      <c r="C42" s="142" t="s">
        <v>15</v>
      </c>
      <c r="D42" s="142"/>
      <c r="E42" s="142"/>
      <c r="F42" s="142"/>
      <c r="G42" s="142"/>
      <c r="H42" s="54" t="s">
        <v>28</v>
      </c>
      <c r="I42" s="54" t="s">
        <v>17</v>
      </c>
      <c r="J42" s="144" t="s">
        <v>29</v>
      </c>
      <c r="K42" s="145"/>
      <c r="L42" s="146"/>
      <c r="M42" s="38"/>
      <c r="N42" s="21"/>
      <c r="O42" s="4"/>
    </row>
    <row r="43" spans="1:21" s="2" customFormat="1" ht="15.6">
      <c r="A43" s="7">
        <v>1</v>
      </c>
      <c r="B43" s="9"/>
      <c r="C43" s="143"/>
      <c r="D43" s="143"/>
      <c r="E43" s="143"/>
      <c r="F43" s="143"/>
      <c r="G43" s="143"/>
      <c r="H43" s="7"/>
      <c r="I43" s="29"/>
      <c r="J43" s="139"/>
      <c r="K43" s="140"/>
      <c r="L43" s="141"/>
      <c r="M43" s="40"/>
      <c r="N43" s="21" t="str">
        <f>CONCATENATE("CREATE ", IF(H43&lt;&gt;"", "UNIQUE ", ""),"INDEX ", B43, " ON ", $F$4, "( ",C43, " ) " )</f>
        <v xml:space="preserve">CREATE INDEX  ON EMPLOYEES(  ) </v>
      </c>
      <c r="O43" s="4"/>
    </row>
    <row r="44" spans="1:21" s="2" customFormat="1" ht="15.6">
      <c r="A44" s="48">
        <v>2</v>
      </c>
      <c r="B44" s="49"/>
      <c r="C44" s="138"/>
      <c r="D44" s="138"/>
      <c r="E44" s="138"/>
      <c r="F44" s="138"/>
      <c r="G44" s="138"/>
      <c r="H44" s="7"/>
      <c r="I44" s="29"/>
      <c r="J44" s="139"/>
      <c r="K44" s="140"/>
      <c r="L44" s="141"/>
      <c r="M44" s="40"/>
      <c r="N44" s="21" t="str">
        <f t="shared" ref="N44:N46" si="2">CONCATENATE("CREATE ", IF(H44&lt;&gt;"", "UNIQUE ", ""),"INDEX ", B44, " ON ", $F$4, "( ",C44, " ) " )</f>
        <v xml:space="preserve">CREATE INDEX  ON EMPLOYEES(  ) </v>
      </c>
      <c r="O44" s="4"/>
    </row>
    <row r="45" spans="1:21" s="2" customFormat="1" ht="15.6">
      <c r="A45" s="48">
        <v>3</v>
      </c>
      <c r="B45" s="49"/>
      <c r="C45" s="138"/>
      <c r="D45" s="138"/>
      <c r="E45" s="138"/>
      <c r="F45" s="138"/>
      <c r="G45" s="138"/>
      <c r="H45" s="7"/>
      <c r="I45" s="29"/>
      <c r="J45" s="51"/>
      <c r="K45" s="52"/>
      <c r="L45" s="53"/>
      <c r="M45" s="40"/>
      <c r="N45" s="21" t="str">
        <f t="shared" si="2"/>
        <v xml:space="preserve">CREATE INDEX  ON EMPLOYEES(  ) </v>
      </c>
      <c r="O45" s="4"/>
    </row>
    <row r="46" spans="1:21" s="2" customFormat="1" ht="15.6">
      <c r="A46" s="48">
        <v>4</v>
      </c>
      <c r="B46" s="49"/>
      <c r="C46" s="138"/>
      <c r="D46" s="138"/>
      <c r="E46" s="138"/>
      <c r="F46" s="138"/>
      <c r="G46" s="138"/>
      <c r="H46" s="7"/>
      <c r="I46" s="29"/>
      <c r="J46" s="139"/>
      <c r="K46" s="140"/>
      <c r="L46" s="141"/>
      <c r="M46" s="40"/>
      <c r="N46" s="21" t="str">
        <f t="shared" si="2"/>
        <v xml:space="preserve">CREATE INDEX  ON EMPLOYEES(  ) </v>
      </c>
      <c r="O46" s="4"/>
    </row>
    <row r="47" spans="1:21" s="2" customFormat="1" ht="15.6">
      <c r="B47" s="2">
        <f>LEN(B43)</f>
        <v>0</v>
      </c>
      <c r="N47" s="22"/>
    </row>
    <row r="48" spans="1:21" s="2" customFormat="1" ht="15.6">
      <c r="N48" s="22"/>
    </row>
    <row r="49" spans="14:14" s="2" customFormat="1" ht="15.6">
      <c r="N49" s="22"/>
    </row>
    <row r="50" spans="14:14" s="2" customFormat="1" ht="15.6">
      <c r="N50" s="22"/>
    </row>
    <row r="51" spans="14:14" s="2" customFormat="1" ht="15.6">
      <c r="N51" s="22"/>
    </row>
    <row r="52" spans="14:14" s="2" customFormat="1" ht="15.6">
      <c r="N52" s="22"/>
    </row>
    <row r="53" spans="14:14" s="2" customFormat="1" ht="15.6">
      <c r="N53" s="22"/>
    </row>
    <row r="54" spans="14:14" s="2" customFormat="1" ht="15.6">
      <c r="N54" s="22"/>
    </row>
    <row r="55" spans="14:14" s="2" customFormat="1" ht="15.6">
      <c r="N55" s="22"/>
    </row>
    <row r="56" spans="14:14" s="2" customFormat="1" ht="15.6">
      <c r="N56" s="22"/>
    </row>
    <row r="57" spans="14:14" s="2" customFormat="1" ht="15.6">
      <c r="N57" s="22"/>
    </row>
  </sheetData>
  <mergeCells count="60"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A1:B1"/>
    <mergeCell ref="C1:D1"/>
    <mergeCell ref="E1:E2"/>
    <mergeCell ref="F1:H2"/>
    <mergeCell ref="A2:B2"/>
    <mergeCell ref="C2:D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381000</xdr:colOff>
                    <xdr:row>0</xdr:row>
                    <xdr:rowOff>22860</xdr:rowOff>
                  </from>
                  <to>
                    <xdr:col>14</xdr:col>
                    <xdr:colOff>365760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A81E-4E14-42ED-8B02-A5D76E7B4184}">
  <sheetPr codeName="Sheet5"/>
  <dimension ref="A1:AD52"/>
  <sheetViews>
    <sheetView tabSelected="1" workbookViewId="0">
      <selection activeCell="J5" sqref="J5:L5"/>
    </sheetView>
  </sheetViews>
  <sheetFormatPr defaultRowHeight="17.399999999999999"/>
  <cols>
    <col min="2" max="2" width="26.296875" customWidth="1"/>
    <col min="3" max="3" width="31.09765625" customWidth="1"/>
    <col min="4" max="4" width="4.09765625" customWidth="1"/>
    <col min="5" max="5" width="14.69921875" customWidth="1"/>
    <col min="8" max="8" width="11.296875" customWidth="1"/>
    <col min="12" max="12" width="16.69921875" customWidth="1"/>
  </cols>
  <sheetData>
    <row r="1" spans="1:30" ht="17.399999999999999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  <c r="N1" s="18"/>
    </row>
    <row r="2" spans="1:30" ht="17.399999999999999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  <c r="N2" s="18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PRODUCTTION ;</v>
      </c>
    </row>
    <row r="4" spans="1:30" ht="31.2">
      <c r="A4" s="115" t="s">
        <v>12</v>
      </c>
      <c r="B4" s="115"/>
      <c r="C4" s="115"/>
      <c r="D4" s="115"/>
      <c r="E4" s="6" t="s">
        <v>13</v>
      </c>
      <c r="F4" s="136" t="s">
        <v>76</v>
      </c>
      <c r="G4" s="136"/>
      <c r="H4" s="136"/>
      <c r="I4" s="58" t="s">
        <v>14</v>
      </c>
      <c r="J4" s="122" t="s">
        <v>119</v>
      </c>
      <c r="K4" s="123"/>
      <c r="L4" s="124"/>
      <c r="M4" s="36"/>
      <c r="N4" s="20"/>
      <c r="O4" s="17"/>
    </row>
    <row r="5" spans="1:30" ht="31.2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8" t="s">
        <v>33</v>
      </c>
      <c r="J5" s="122"/>
      <c r="K5" s="123"/>
      <c r="L5" s="124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71" t="str">
        <f>CONCATENATE("CREATE TABLE ",$F$4," (")</f>
        <v>CREATE TABLE PRODUCTTION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PRODUCTTION IS '제품목록'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87</v>
      </c>
      <c r="C7" s="59" t="s">
        <v>64</v>
      </c>
      <c r="D7" s="59" t="s">
        <v>44</v>
      </c>
      <c r="E7" s="59" t="s">
        <v>46</v>
      </c>
      <c r="F7" s="59">
        <v>5</v>
      </c>
      <c r="G7" s="95" t="s">
        <v>73</v>
      </c>
      <c r="H7" s="95"/>
      <c r="I7" s="96"/>
      <c r="J7" s="137"/>
      <c r="K7" s="137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ProductionID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PRODUCTTION.ProductionID IS '제품ID'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61" t="s">
        <v>99</v>
      </c>
      <c r="C8" s="59" t="s">
        <v>98</v>
      </c>
      <c r="D8" s="59" t="s">
        <v>44</v>
      </c>
      <c r="E8" s="59" t="s">
        <v>61</v>
      </c>
      <c r="F8" s="61">
        <v>20</v>
      </c>
      <c r="G8" s="95"/>
      <c r="H8" s="98"/>
      <c r="I8" s="59"/>
      <c r="J8" s="137"/>
      <c r="K8" s="137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ProductionName                 VARCHAR (20)   NOT NULL  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PRODUCTTION.ProductionName IS '제품이름'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/>
      <c r="C9" s="59"/>
      <c r="D9" s="67"/>
      <c r="E9" s="59"/>
      <c r="F9" s="59"/>
      <c r="G9" s="95"/>
      <c r="H9" s="95"/>
      <c r="I9" s="96"/>
      <c r="J9" s="155"/>
      <c r="K9" s="155"/>
      <c r="L9" s="59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74"/>
      <c r="P9" s="75"/>
      <c r="Q9" s="75"/>
      <c r="R9" s="75"/>
      <c r="S9" s="75"/>
      <c r="T9" s="75"/>
      <c r="U9" s="73" t="str">
        <f t="shared" si="0"/>
        <v>COMMENT ON COLUMN PRODUCTTION. IS ''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/>
      <c r="C10" s="59"/>
      <c r="D10" s="59"/>
      <c r="E10" s="59"/>
      <c r="F10" s="59"/>
      <c r="G10" s="95"/>
      <c r="H10" s="95"/>
      <c r="I10" s="96"/>
      <c r="J10" s="156"/>
      <c r="K10" s="156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PRODUCTTION. IS ''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>
      <c r="A11" s="104">
        <v>5</v>
      </c>
      <c r="B11" s="61"/>
      <c r="C11" s="65"/>
      <c r="D11" s="61"/>
      <c r="E11" s="59"/>
      <c r="F11" s="66"/>
      <c r="G11" s="95"/>
      <c r="H11" s="95"/>
      <c r="I11" s="96"/>
      <c r="J11" s="155"/>
      <c r="K11" s="155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PRODUCTTION. IS ''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37"/>
      <c r="K12" s="137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PRODUCTTION.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37"/>
      <c r="K13" s="137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PRODUCTTION.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37"/>
      <c r="K14" s="137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PRODUCTTION.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37"/>
      <c r="K15" s="137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PRODUCTTION.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 t="s">
        <v>26</v>
      </c>
      <c r="I16" s="96"/>
      <c r="J16" s="137"/>
      <c r="K16" s="137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PRODUCTTION.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 t="s">
        <v>26</v>
      </c>
      <c r="I17" s="96"/>
      <c r="J17" s="137"/>
      <c r="K17" s="137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PRODUCTTION.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 t="s">
        <v>26</v>
      </c>
      <c r="I18" s="96"/>
      <c r="J18" s="137"/>
      <c r="K18" s="137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PRODUCTTION.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37"/>
      <c r="K19" s="137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PRODUCTTION.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37"/>
      <c r="K20" s="137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PRODUCTTION.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37"/>
      <c r="K21" s="137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PRODUCTTION.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37"/>
      <c r="K22" s="137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PRODUCTTION.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37"/>
      <c r="K23" s="137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PRODUCTTION.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37"/>
      <c r="K24" s="137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PRODUCTTION.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37"/>
      <c r="K25" s="137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PRODUCTTION.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37"/>
      <c r="K26" s="137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PRODUCTTION.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37"/>
      <c r="K27" s="137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PRODUCTTION.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37"/>
      <c r="K28" s="137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PRODUCTTION.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37"/>
      <c r="K29" s="137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PRODUCTTION.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37"/>
      <c r="K30" s="137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PRODUCTTION.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37"/>
      <c r="K31" s="137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PRODUCTTION.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37"/>
      <c r="K32" s="137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PRODUCTTION.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37"/>
      <c r="K33" s="137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PRODUCTTION.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37"/>
      <c r="K34" s="137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PRODUCTTION.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37"/>
      <c r="K35" s="137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PRODUCTTION.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37"/>
      <c r="K36" s="137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37"/>
      <c r="K37" s="137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37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31</v>
      </c>
      <c r="C42" s="151" t="s">
        <v>15</v>
      </c>
      <c r="D42" s="151"/>
      <c r="E42" s="151"/>
      <c r="F42" s="151"/>
      <c r="G42" s="151"/>
      <c r="H42" s="77" t="s">
        <v>28</v>
      </c>
      <c r="I42" s="77" t="s">
        <v>17</v>
      </c>
      <c r="J42" s="152" t="s">
        <v>29</v>
      </c>
      <c r="K42" s="153"/>
      <c r="L42" s="154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47"/>
      <c r="D43" s="147"/>
      <c r="E43" s="147"/>
      <c r="F43" s="147"/>
      <c r="G43" s="147"/>
      <c r="H43" s="81"/>
      <c r="I43" s="82"/>
      <c r="J43" s="148"/>
      <c r="K43" s="149"/>
      <c r="L43" s="150"/>
      <c r="M43" s="83"/>
      <c r="N43" s="79" t="str">
        <f>CONCATENATE("CREATE ", IF(H43&lt;&gt;"", "UNIQUE ", ""),"INDEX ", B43, " ON ", $F$4, "( ",C43, " ) " )</f>
        <v xml:space="preserve">CREATE INDEX  ON PRODUCTTION(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47"/>
      <c r="D44" s="147"/>
      <c r="E44" s="147"/>
      <c r="F44" s="147"/>
      <c r="G44" s="147"/>
      <c r="H44" s="81"/>
      <c r="I44" s="82"/>
      <c r="J44" s="148"/>
      <c r="K44" s="149"/>
      <c r="L44" s="150"/>
      <c r="M44" s="83"/>
      <c r="N44" s="79" t="str">
        <f t="shared" ref="N44:N46" si="2">CONCATENATE("CREATE ", IF(H44&lt;&gt;"", "UNIQUE ", ""),"INDEX ", B44, " ON ", $F$4, "( ",C44, " ) " )</f>
        <v xml:space="preserve">CREATE INDEX  ON PRODUCTTION(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47"/>
      <c r="D45" s="147"/>
      <c r="E45" s="147"/>
      <c r="F45" s="147"/>
      <c r="G45" s="147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PRODUCTTION(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47"/>
      <c r="D46" s="147"/>
      <c r="E46" s="147"/>
      <c r="F46" s="147"/>
      <c r="G46" s="147"/>
      <c r="H46" s="81"/>
      <c r="I46" s="82"/>
      <c r="J46" s="148"/>
      <c r="K46" s="149"/>
      <c r="L46" s="150"/>
      <c r="M46" s="83"/>
      <c r="N46" s="79" t="str">
        <f t="shared" si="2"/>
        <v xml:space="preserve">CREATE INDEX  ON PRODUCTTION(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</sheetData>
  <mergeCells count="60"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C44:G44"/>
    <mergeCell ref="J44:L44"/>
    <mergeCell ref="C45:G45"/>
    <mergeCell ref="C46:G46"/>
    <mergeCell ref="J46:L4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7620</xdr:colOff>
                    <xdr:row>0</xdr:row>
                    <xdr:rowOff>22860</xdr:rowOff>
                  </from>
                  <to>
                    <xdr:col>14</xdr:col>
                    <xdr:colOff>22860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9995-B713-4962-ABB9-E3C6646B016C}">
  <sheetPr codeName="Sheet4"/>
  <dimension ref="A1:AD52"/>
  <sheetViews>
    <sheetView topLeftCell="H1" workbookViewId="0">
      <selection activeCell="J5" sqref="J5:L5"/>
    </sheetView>
  </sheetViews>
  <sheetFormatPr defaultRowHeight="17.399999999999999"/>
  <cols>
    <col min="2" max="2" width="27.296875" customWidth="1"/>
    <col min="3" max="3" width="11.59765625" customWidth="1"/>
    <col min="5" max="5" width="10.796875" customWidth="1"/>
    <col min="8" max="8" width="14.69921875" customWidth="1"/>
    <col min="9" max="9" width="14.09765625" customWidth="1"/>
    <col min="12" max="12" width="16.69921875" customWidth="1"/>
  </cols>
  <sheetData>
    <row r="1" spans="1:30" ht="17.399999999999999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  <c r="N1" s="18"/>
    </row>
    <row r="2" spans="1:30" ht="17.399999999999999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  <c r="N2" s="18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TODO ;</v>
      </c>
    </row>
    <row r="4" spans="1:30" ht="16.8" customHeight="1">
      <c r="A4" s="115" t="s">
        <v>12</v>
      </c>
      <c r="B4" s="115"/>
      <c r="C4" s="115"/>
      <c r="D4" s="115"/>
      <c r="E4" s="6" t="s">
        <v>13</v>
      </c>
      <c r="F4" s="136" t="s">
        <v>100</v>
      </c>
      <c r="G4" s="136"/>
      <c r="H4" s="136"/>
      <c r="I4" s="58" t="s">
        <v>14</v>
      </c>
      <c r="J4" s="122" t="s">
        <v>115</v>
      </c>
      <c r="K4" s="123"/>
      <c r="L4" s="124"/>
      <c r="M4" s="36"/>
      <c r="N4" s="20"/>
      <c r="O4" s="17"/>
    </row>
    <row r="5" spans="1:30" ht="16.8" customHeight="1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8" t="s">
        <v>33</v>
      </c>
      <c r="J5" s="122"/>
      <c r="K5" s="123"/>
      <c r="L5" s="124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71" t="str">
        <f>CONCATENATE("CREATE TABLE ",$F$4," (")</f>
        <v>CREATE TABLE TODO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TODO IS '작업지시'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88</v>
      </c>
      <c r="C7" s="59" t="s">
        <v>66</v>
      </c>
      <c r="D7" s="67" t="s">
        <v>92</v>
      </c>
      <c r="E7" s="59" t="s">
        <v>63</v>
      </c>
      <c r="F7" s="59"/>
      <c r="G7" s="95" t="s">
        <v>73</v>
      </c>
      <c r="H7" s="95"/>
      <c r="I7" s="96"/>
      <c r="J7" s="137" t="s">
        <v>74</v>
      </c>
      <c r="K7" s="137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TodoCode      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TODO.TodoCode IS '작업지시코드  ( AUTO_INCREMENT )'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59" t="s">
        <v>77</v>
      </c>
      <c r="C8" s="59" t="s">
        <v>41</v>
      </c>
      <c r="D8" s="67" t="s">
        <v>44</v>
      </c>
      <c r="E8" s="59" t="s">
        <v>46</v>
      </c>
      <c r="F8" s="59">
        <v>5</v>
      </c>
      <c r="G8" s="95"/>
      <c r="H8" s="98" t="s">
        <v>93</v>
      </c>
      <c r="I8" s="59"/>
      <c r="J8" s="137"/>
      <c r="K8" s="137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TODO.MachineID IS '기계ID'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 t="s">
        <v>87</v>
      </c>
      <c r="C9" s="59" t="s">
        <v>64</v>
      </c>
      <c r="D9" s="67" t="s">
        <v>44</v>
      </c>
      <c r="E9" s="59" t="s">
        <v>46</v>
      </c>
      <c r="F9" s="59">
        <v>5</v>
      </c>
      <c r="G9" s="95"/>
      <c r="H9" s="95" t="s">
        <v>94</v>
      </c>
      <c r="I9" s="96"/>
      <c r="J9" s="155"/>
      <c r="K9" s="155"/>
      <c r="L9" s="59" t="s">
        <v>65</v>
      </c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TODO.ProductionID IS '제품ID'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 t="s">
        <v>97</v>
      </c>
      <c r="C10" s="59" t="s">
        <v>49</v>
      </c>
      <c r="D10" s="67" t="s">
        <v>44</v>
      </c>
      <c r="E10" s="59" t="s">
        <v>46</v>
      </c>
      <c r="F10" s="59">
        <v>5</v>
      </c>
      <c r="G10" s="95"/>
      <c r="H10" s="95" t="s">
        <v>95</v>
      </c>
      <c r="I10" s="96"/>
      <c r="J10" s="156"/>
      <c r="K10" s="156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EmployeeID                     CHAR (5)   NOT NULL  ,</v>
      </c>
      <c r="O10" s="74"/>
      <c r="P10" s="75"/>
      <c r="Q10" s="75"/>
      <c r="R10" s="75"/>
      <c r="S10" s="75"/>
      <c r="T10" s="75"/>
      <c r="U10" s="73" t="str">
        <f t="shared" si="0"/>
        <v>COMMENT ON COLUMN TODO.EmployeeID IS '직원ID'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 ht="18.600000000000001" customHeight="1">
      <c r="A11" s="104">
        <v>5</v>
      </c>
      <c r="B11" s="61" t="s">
        <v>89</v>
      </c>
      <c r="C11" s="65" t="s">
        <v>69</v>
      </c>
      <c r="D11" s="67" t="s">
        <v>92</v>
      </c>
      <c r="E11" s="59" t="s">
        <v>63</v>
      </c>
      <c r="F11" s="66"/>
      <c r="G11" s="95"/>
      <c r="H11" s="95" t="s">
        <v>112</v>
      </c>
      <c r="I11" s="96"/>
      <c r="J11" s="155"/>
      <c r="K11" s="155"/>
      <c r="L11" s="97"/>
      <c r="M11" s="28"/>
      <c r="N11" s="71" t="str">
        <f t="shared" si="1"/>
        <v xml:space="preserve">Amount                         INT     NOT NULL  </v>
      </c>
      <c r="O11" s="74"/>
      <c r="P11" s="75"/>
      <c r="Q11" s="75"/>
      <c r="R11" s="75"/>
      <c r="S11" s="75"/>
      <c r="T11" s="75"/>
      <c r="U11" s="73" t="str">
        <f t="shared" si="0"/>
        <v>COMMENT ON COLUMN TODO.Amount IS '갯수'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37"/>
      <c r="K12" s="137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TODO.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37"/>
      <c r="K13" s="137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TODO.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37"/>
      <c r="K14" s="137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TODO.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37"/>
      <c r="K15" s="137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TODO.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 t="s">
        <v>26</v>
      </c>
      <c r="I16" s="96"/>
      <c r="J16" s="137"/>
      <c r="K16" s="137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TODO.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 t="s">
        <v>26</v>
      </c>
      <c r="I17" s="96"/>
      <c r="J17" s="137"/>
      <c r="K17" s="137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TODO.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 t="s">
        <v>26</v>
      </c>
      <c r="I18" s="96"/>
      <c r="J18" s="137"/>
      <c r="K18" s="137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TODO.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37"/>
      <c r="K19" s="137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TODO.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37"/>
      <c r="K20" s="137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TODO.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37"/>
      <c r="K21" s="137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TODO.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37"/>
      <c r="K22" s="137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TODO.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37"/>
      <c r="K23" s="137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TODO.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37"/>
      <c r="K24" s="137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TODO.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37"/>
      <c r="K25" s="137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TODO.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37"/>
      <c r="K26" s="137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TODO.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37"/>
      <c r="K27" s="137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TODO.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37"/>
      <c r="K28" s="137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TODO.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37"/>
      <c r="K29" s="137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TODO.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37"/>
      <c r="K30" s="137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TODO.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37"/>
      <c r="K31" s="137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TODO.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37"/>
      <c r="K32" s="137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TODO.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37"/>
      <c r="K33" s="137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TODO.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37"/>
      <c r="K34" s="137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TODO.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37"/>
      <c r="K35" s="137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TODO.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37"/>
      <c r="K36" s="137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37"/>
      <c r="K37" s="137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37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31</v>
      </c>
      <c r="C42" s="151" t="s">
        <v>15</v>
      </c>
      <c r="D42" s="151"/>
      <c r="E42" s="151"/>
      <c r="F42" s="151"/>
      <c r="G42" s="151"/>
      <c r="H42" s="77" t="s">
        <v>28</v>
      </c>
      <c r="I42" s="77" t="s">
        <v>17</v>
      </c>
      <c r="J42" s="152" t="s">
        <v>29</v>
      </c>
      <c r="K42" s="153"/>
      <c r="L42" s="154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47"/>
      <c r="D43" s="147"/>
      <c r="E43" s="147"/>
      <c r="F43" s="147"/>
      <c r="G43" s="147"/>
      <c r="H43" s="81"/>
      <c r="I43" s="82"/>
      <c r="J43" s="148"/>
      <c r="K43" s="149"/>
      <c r="L43" s="150"/>
      <c r="M43" s="83"/>
      <c r="N43" s="79" t="str">
        <f>CONCATENATE("CREATE ", IF(H43&lt;&gt;"", "UNIQUE ", ""),"INDEX ", B43, " ON ", $F$4, "( ",C43, " ) " )</f>
        <v xml:space="preserve">CREATE INDEX  ON TODO(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47"/>
      <c r="D44" s="147"/>
      <c r="E44" s="147"/>
      <c r="F44" s="147"/>
      <c r="G44" s="147"/>
      <c r="H44" s="81"/>
      <c r="I44" s="82"/>
      <c r="J44" s="148"/>
      <c r="K44" s="149"/>
      <c r="L44" s="150"/>
      <c r="M44" s="83"/>
      <c r="N44" s="79" t="str">
        <f t="shared" ref="N44:N46" si="2">CONCATENATE("CREATE ", IF(H44&lt;&gt;"", "UNIQUE ", ""),"INDEX ", B44, " ON ", $F$4, "( ",C44, " ) " )</f>
        <v xml:space="preserve">CREATE INDEX  ON TODO(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47"/>
      <c r="D45" s="147"/>
      <c r="E45" s="147"/>
      <c r="F45" s="147"/>
      <c r="G45" s="147"/>
      <c r="H45" s="81"/>
      <c r="I45" s="82"/>
      <c r="J45" s="84"/>
      <c r="K45" s="85"/>
      <c r="L45" s="86"/>
      <c r="M45" s="83"/>
      <c r="N45" s="79" t="str">
        <f t="shared" si="2"/>
        <v xml:space="preserve">CREATE INDEX  ON TODO(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47"/>
      <c r="D46" s="147"/>
      <c r="E46" s="147"/>
      <c r="F46" s="147"/>
      <c r="G46" s="147"/>
      <c r="H46" s="81"/>
      <c r="I46" s="82"/>
      <c r="J46" s="148"/>
      <c r="K46" s="149"/>
      <c r="L46" s="150"/>
      <c r="M46" s="83"/>
      <c r="N46" s="79" t="str">
        <f t="shared" si="2"/>
        <v xml:space="preserve">CREATE INDEX  ON TODO(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</sheetData>
  <mergeCells count="60"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C44:G44"/>
    <mergeCell ref="J44:L44"/>
    <mergeCell ref="C45:G45"/>
    <mergeCell ref="C46:G46"/>
    <mergeCell ref="J46:L46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7620</xdr:colOff>
                    <xdr:row>0</xdr:row>
                    <xdr:rowOff>22860</xdr:rowOff>
                  </from>
                  <to>
                    <xdr:col>14</xdr:col>
                    <xdr:colOff>22860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C9C8-2614-4004-85F5-3FDE8C212EE5}">
  <sheetPr codeName="Sheet3"/>
  <dimension ref="A1:AD57"/>
  <sheetViews>
    <sheetView workbookViewId="0">
      <selection activeCell="J5" sqref="J5:L5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3.59765625" bestFit="1" customWidth="1"/>
    <col min="8" max="8" width="10.69921875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9" style="18"/>
    <col min="15" max="15" width="10.5" customWidth="1"/>
  </cols>
  <sheetData>
    <row r="1" spans="1:30" ht="16.5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</row>
    <row r="2" spans="1:30" ht="16.5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PRODUCTTIONLIST ;</v>
      </c>
    </row>
    <row r="4" spans="1:30" ht="16.5" customHeight="1">
      <c r="A4" s="115" t="s">
        <v>12</v>
      </c>
      <c r="B4" s="115"/>
      <c r="C4" s="115"/>
      <c r="D4" s="115"/>
      <c r="E4" s="6" t="s">
        <v>13</v>
      </c>
      <c r="F4" s="136" t="s">
        <v>101</v>
      </c>
      <c r="G4" s="136"/>
      <c r="H4" s="136"/>
      <c r="I4" s="55" t="s">
        <v>14</v>
      </c>
      <c r="J4" s="122" t="s">
        <v>116</v>
      </c>
      <c r="K4" s="123"/>
      <c r="L4" s="124"/>
      <c r="M4" s="36"/>
      <c r="N4" s="20"/>
      <c r="O4" s="17"/>
    </row>
    <row r="5" spans="1:30" ht="16.5" customHeight="1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5" t="s">
        <v>33</v>
      </c>
      <c r="J5" s="122"/>
      <c r="K5" s="123"/>
      <c r="L5" s="124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71" t="str">
        <f>CONCATENATE("CREATE TABLE ",$F$4," (")</f>
        <v>CREATE TABLE PRODUCTTIONLIST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PRODUCTTIONLIST IS '제품 생산 기록'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102</v>
      </c>
      <c r="C7" s="59" t="s">
        <v>62</v>
      </c>
      <c r="D7" s="67" t="s">
        <v>44</v>
      </c>
      <c r="E7" s="88" t="s">
        <v>63</v>
      </c>
      <c r="F7" s="91"/>
      <c r="G7" s="95" t="s">
        <v>25</v>
      </c>
      <c r="H7" s="95" t="s">
        <v>26</v>
      </c>
      <c r="I7" s="96"/>
      <c r="J7" s="137" t="s">
        <v>74</v>
      </c>
      <c r="K7" s="137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ProductionCode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PRODUCTTIONLIST.ProductionCode IS '제품기록코드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5.6">
      <c r="A8" s="104">
        <v>2</v>
      </c>
      <c r="B8" s="59" t="s">
        <v>77</v>
      </c>
      <c r="C8" s="59" t="s">
        <v>41</v>
      </c>
      <c r="D8" s="67" t="s">
        <v>44</v>
      </c>
      <c r="E8" s="88" t="s">
        <v>46</v>
      </c>
      <c r="F8" s="92">
        <v>5</v>
      </c>
      <c r="G8" s="95"/>
      <c r="H8" s="98" t="s">
        <v>93</v>
      </c>
      <c r="I8" s="59"/>
      <c r="J8" s="137"/>
      <c r="K8" s="137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PRODUCTTIONLIST.MachineID IS '기계ID'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59" t="s">
        <v>87</v>
      </c>
      <c r="C9" s="59" t="s">
        <v>64</v>
      </c>
      <c r="D9" s="67" t="s">
        <v>44</v>
      </c>
      <c r="E9" s="88" t="s">
        <v>46</v>
      </c>
      <c r="F9" s="92">
        <v>5</v>
      </c>
      <c r="G9" s="95"/>
      <c r="H9" s="95" t="s">
        <v>94</v>
      </c>
      <c r="I9" s="96"/>
      <c r="J9" s="155" t="s">
        <v>65</v>
      </c>
      <c r="K9" s="155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PRODUCTTIONLIST.ProductionID IS '제품ID  ( 생산가능제품인지? )'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5.6">
      <c r="A10" s="104">
        <v>4</v>
      </c>
      <c r="B10" s="59" t="s">
        <v>88</v>
      </c>
      <c r="C10" s="65" t="s">
        <v>66</v>
      </c>
      <c r="D10" s="67" t="s">
        <v>44</v>
      </c>
      <c r="E10" s="89" t="s">
        <v>67</v>
      </c>
      <c r="F10" s="93"/>
      <c r="G10" s="95"/>
      <c r="H10" s="95" t="s">
        <v>96</v>
      </c>
      <c r="I10" s="96"/>
      <c r="J10" s="156"/>
      <c r="K10" s="156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TodoCode                       INT     NOT NULL  ,</v>
      </c>
      <c r="O10" s="74"/>
      <c r="P10" s="75"/>
      <c r="Q10" s="75"/>
      <c r="R10" s="75"/>
      <c r="S10" s="75"/>
      <c r="T10" s="75"/>
      <c r="U10" s="73" t="str">
        <f t="shared" si="0"/>
        <v>COMMENT ON COLUMN PRODUCTTIONLIST.TodoCode IS '작업지시코드'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5.6">
      <c r="A11" s="104">
        <v>5</v>
      </c>
      <c r="B11" s="59" t="s">
        <v>79</v>
      </c>
      <c r="C11" s="59" t="s">
        <v>49</v>
      </c>
      <c r="D11" s="67" t="s">
        <v>44</v>
      </c>
      <c r="E11" s="88" t="s">
        <v>46</v>
      </c>
      <c r="F11" s="92">
        <v>5</v>
      </c>
      <c r="G11" s="95"/>
      <c r="H11" s="95" t="s">
        <v>95</v>
      </c>
      <c r="I11" s="96"/>
      <c r="J11" s="155" t="s">
        <v>68</v>
      </c>
      <c r="K11" s="155"/>
      <c r="L11" s="97"/>
      <c r="M11" s="28"/>
      <c r="N11" s="71" t="str">
        <f t="shared" si="1"/>
        <v>EmployeeCode                   CHAR (5)   NOT NULL  ,</v>
      </c>
      <c r="O11" s="74"/>
      <c r="P11" s="75"/>
      <c r="Q11" s="75"/>
      <c r="R11" s="75"/>
      <c r="S11" s="75"/>
      <c r="T11" s="75"/>
      <c r="U11" s="73" t="str">
        <f t="shared" si="0"/>
        <v>COMMENT ON COLUMN PRODUCTTIONLIST.EmployeeCode IS '직원ID  ( 생산팀 직원 )'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 t="s">
        <v>89</v>
      </c>
      <c r="C12" s="65" t="s">
        <v>69</v>
      </c>
      <c r="D12" s="67" t="s">
        <v>44</v>
      </c>
      <c r="E12" s="88" t="s">
        <v>63</v>
      </c>
      <c r="F12" s="93"/>
      <c r="G12" s="95"/>
      <c r="H12" s="95" t="s">
        <v>114</v>
      </c>
      <c r="I12" s="96"/>
      <c r="J12" s="137" t="s">
        <v>60</v>
      </c>
      <c r="K12" s="137"/>
      <c r="L12" s="97"/>
      <c r="M12" s="28"/>
      <c r="N12" s="71" t="str">
        <f t="shared" si="1"/>
        <v>Amount                         INT     NOT NULL  ,</v>
      </c>
      <c r="O12" s="74"/>
      <c r="P12" s="75"/>
      <c r="Q12" s="75"/>
      <c r="R12" s="75"/>
      <c r="S12" s="75"/>
      <c r="T12" s="75"/>
      <c r="U12" s="73" t="str">
        <f t="shared" si="0"/>
        <v>COMMENT ON COLUMN PRODUCTTIONLIST.Amount IS '갯수  ( 관리자/ 직원 )'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5.6">
      <c r="A13" s="104">
        <v>7</v>
      </c>
      <c r="B13" s="59" t="s">
        <v>91</v>
      </c>
      <c r="C13" s="65" t="s">
        <v>70</v>
      </c>
      <c r="D13" s="67" t="s">
        <v>44</v>
      </c>
      <c r="E13" s="88" t="s">
        <v>71</v>
      </c>
      <c r="F13" s="94"/>
      <c r="G13" s="95"/>
      <c r="H13" s="95"/>
      <c r="I13" s="96"/>
      <c r="J13" s="137" t="s">
        <v>109</v>
      </c>
      <c r="K13" s="137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ProductionDate                 DATETIME     NOT NULL  ,</v>
      </c>
      <c r="O13" s="74"/>
      <c r="P13" s="75"/>
      <c r="Q13" s="75"/>
      <c r="R13" s="75"/>
      <c r="S13" s="75"/>
      <c r="T13" s="75"/>
      <c r="U13" s="73" t="str">
        <f t="shared" si="0"/>
        <v>COMMENT ON COLUMN PRODUCTTIONLIST.ProductionDate IS '생산날짜  ( 5분마다 )'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5.6">
      <c r="A14" s="104">
        <v>8</v>
      </c>
      <c r="B14" s="59" t="s">
        <v>90</v>
      </c>
      <c r="C14" s="59" t="s">
        <v>72</v>
      </c>
      <c r="D14" s="67"/>
      <c r="E14" s="88" t="s">
        <v>75</v>
      </c>
      <c r="F14" s="94"/>
      <c r="G14" s="95"/>
      <c r="H14" s="95" t="s">
        <v>26</v>
      </c>
      <c r="I14" s="96"/>
      <c r="J14" s="137"/>
      <c r="K14" s="137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DefectRate                     DOUBLE      </v>
      </c>
      <c r="O14" s="74"/>
      <c r="P14" s="75"/>
      <c r="Q14" s="75"/>
      <c r="R14" s="75"/>
      <c r="S14" s="75"/>
      <c r="T14" s="75"/>
      <c r="U14" s="73" t="str">
        <f t="shared" si="0"/>
        <v>COMMENT ON COLUMN PRODUCTTIONLIST.DefectRate IS '불량률'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5.6">
      <c r="A15" s="104">
        <v>9</v>
      </c>
      <c r="B15" s="66"/>
      <c r="C15" s="66"/>
      <c r="D15" s="70"/>
      <c r="E15" s="90"/>
      <c r="F15" s="93"/>
      <c r="G15" s="95"/>
      <c r="H15" s="95" t="s">
        <v>26</v>
      </c>
      <c r="I15" s="100"/>
      <c r="J15" s="137"/>
      <c r="K15" s="137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PRODUCTTIONLIST.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5.6">
      <c r="A16" s="104">
        <v>10</v>
      </c>
      <c r="B16" s="101"/>
      <c r="C16" s="101"/>
      <c r="D16" s="69"/>
      <c r="E16" s="102"/>
      <c r="F16" s="103"/>
      <c r="G16" s="95"/>
      <c r="H16" s="95" t="s">
        <v>26</v>
      </c>
      <c r="I16" s="96"/>
      <c r="J16" s="137"/>
      <c r="K16" s="137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PRODUCTTIONLIST.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5.6">
      <c r="A17" s="104">
        <v>11</v>
      </c>
      <c r="B17" s="101"/>
      <c r="C17" s="101"/>
      <c r="D17" s="67"/>
      <c r="E17" s="102"/>
      <c r="F17" s="103"/>
      <c r="G17" s="95"/>
      <c r="H17" s="95" t="s">
        <v>26</v>
      </c>
      <c r="I17" s="96"/>
      <c r="J17" s="137"/>
      <c r="K17" s="137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PRODUCTTIONLIST.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5.6">
      <c r="A18" s="104">
        <v>12</v>
      </c>
      <c r="B18" s="101"/>
      <c r="C18" s="101"/>
      <c r="D18" s="68"/>
      <c r="E18" s="102"/>
      <c r="F18" s="103"/>
      <c r="G18" s="95"/>
      <c r="H18" s="95" t="s">
        <v>26</v>
      </c>
      <c r="I18" s="96"/>
      <c r="J18" s="137"/>
      <c r="K18" s="137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PRODUCTTIONLIST.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5.6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37"/>
      <c r="K19" s="137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PRODUCTTIONLIST.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5.6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37"/>
      <c r="K20" s="137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PRODUCTTIONLIST.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5.6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37"/>
      <c r="K21" s="137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PRODUCTTIONLIST.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5.6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37"/>
      <c r="K22" s="137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PRODUCTTIONLIST.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37"/>
      <c r="K23" s="137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PRODUCTTIONLIST.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5.6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37"/>
      <c r="K24" s="137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PRODUCTTIONLIST.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37"/>
      <c r="K25" s="137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PRODUCTTIONLIST.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5.6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37"/>
      <c r="K26" s="137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PRODUCTTIONLIST.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5.6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37"/>
      <c r="K27" s="137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PRODUCTTIONLIST.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5.6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37"/>
      <c r="K28" s="137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PRODUCTTIONLIST.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5.6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37"/>
      <c r="K29" s="137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PRODUCTTIONLIST.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5.6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37"/>
      <c r="K30" s="137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PRODUCTTIONLIST.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5.6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37"/>
      <c r="K31" s="137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PRODUCTTIONLIST.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5.6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37"/>
      <c r="K32" s="137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PRODUCTTIONLIST.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5.6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37"/>
      <c r="K33" s="137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PRODUCTTIONLIST.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5.6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37"/>
      <c r="K34" s="137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PRODUCTTIONLIST.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5.6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37"/>
      <c r="K35" s="137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PRODUCTTIONLIST.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5.6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37"/>
      <c r="K36" s="137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5.6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37"/>
      <c r="K37" s="137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71" t="s">
        <v>37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9" s="2" customFormat="1" ht="15.6">
      <c r="A42" s="76" t="s">
        <v>11</v>
      </c>
      <c r="B42" s="76" t="s">
        <v>31</v>
      </c>
      <c r="C42" s="151" t="s">
        <v>15</v>
      </c>
      <c r="D42" s="151"/>
      <c r="E42" s="151"/>
      <c r="F42" s="151"/>
      <c r="G42" s="151"/>
      <c r="H42" s="76" t="s">
        <v>28</v>
      </c>
      <c r="I42" s="76" t="s">
        <v>17</v>
      </c>
      <c r="J42" s="152" t="s">
        <v>29</v>
      </c>
      <c r="K42" s="153"/>
      <c r="L42" s="154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5.6">
      <c r="A43" s="81">
        <v>1</v>
      </c>
      <c r="B43" s="64"/>
      <c r="C43" s="147"/>
      <c r="D43" s="147"/>
      <c r="E43" s="147"/>
      <c r="F43" s="147"/>
      <c r="G43" s="147"/>
      <c r="H43" s="81"/>
      <c r="I43" s="82"/>
      <c r="J43" s="148"/>
      <c r="K43" s="149"/>
      <c r="L43" s="150"/>
      <c r="M43" s="83"/>
      <c r="N43" s="79" t="str">
        <f>CONCATENATE("CREATE ", IF(H43&lt;&gt;"", "UNIQUE ", ""),"INDEX ", B43, " ON ", $F$4, "( ",C43, " ) " )</f>
        <v xml:space="preserve">CREATE INDEX  ON PRODUCTTIONLIST(  ) </v>
      </c>
      <c r="O43" s="79"/>
      <c r="P43" s="80"/>
      <c r="Q43" s="80"/>
      <c r="R43" s="80"/>
      <c r="S43" s="80"/>
      <c r="T43" s="80"/>
      <c r="U43" s="80"/>
    </row>
    <row r="44" spans="1:29" s="2" customFormat="1" ht="15.6">
      <c r="A44" s="81">
        <v>2</v>
      </c>
      <c r="B44" s="64"/>
      <c r="C44" s="147"/>
      <c r="D44" s="147"/>
      <c r="E44" s="147"/>
      <c r="F44" s="147"/>
      <c r="G44" s="147"/>
      <c r="H44" s="81"/>
      <c r="I44" s="82"/>
      <c r="J44" s="148"/>
      <c r="K44" s="149"/>
      <c r="L44" s="150"/>
      <c r="M44" s="83"/>
      <c r="N44" s="79" t="str">
        <f t="shared" ref="N44:N46" si="2">CONCATENATE("CREATE ", IF(H44&lt;&gt;"", "UNIQUE ", ""),"INDEX ", B44, " ON ", $F$4, "( ",C44, " ) " )</f>
        <v xml:space="preserve">CREATE INDEX  ON PRODUCTTIONLIST(  ) </v>
      </c>
      <c r="O44" s="79"/>
      <c r="P44" s="80"/>
      <c r="Q44" s="80"/>
      <c r="R44" s="80"/>
      <c r="S44" s="80"/>
      <c r="T44" s="80"/>
      <c r="U44" s="80"/>
    </row>
    <row r="45" spans="1:29" s="2" customFormat="1" ht="15.6">
      <c r="A45" s="81">
        <v>3</v>
      </c>
      <c r="B45" s="64"/>
      <c r="C45" s="147"/>
      <c r="D45" s="147"/>
      <c r="E45" s="147"/>
      <c r="F45" s="147"/>
      <c r="G45" s="147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PRODUCTTIONLIST(  ) </v>
      </c>
      <c r="O45" s="79"/>
      <c r="P45" s="80"/>
      <c r="Q45" s="80"/>
      <c r="R45" s="80"/>
      <c r="S45" s="80"/>
      <c r="T45" s="80"/>
      <c r="U45" s="80"/>
    </row>
    <row r="46" spans="1:29" s="2" customFormat="1" ht="15.6">
      <c r="A46" s="81">
        <v>4</v>
      </c>
      <c r="B46" s="64"/>
      <c r="C46" s="147"/>
      <c r="D46" s="147"/>
      <c r="E46" s="147"/>
      <c r="F46" s="147"/>
      <c r="G46" s="147"/>
      <c r="H46" s="81"/>
      <c r="I46" s="82"/>
      <c r="J46" s="148"/>
      <c r="K46" s="149"/>
      <c r="L46" s="150"/>
      <c r="M46" s="83"/>
      <c r="N46" s="79" t="str">
        <f t="shared" si="2"/>
        <v xml:space="preserve">CREATE INDEX  ON PRODUCTTIONLIST(  ) </v>
      </c>
      <c r="O46" s="79"/>
      <c r="P46" s="80"/>
      <c r="Q46" s="80"/>
      <c r="R46" s="80"/>
      <c r="S46" s="80"/>
      <c r="T46" s="80"/>
      <c r="U46" s="80"/>
    </row>
    <row r="47" spans="1:29" s="2" customFormat="1" ht="15.6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5.6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1" s="2" customFormat="1" ht="15.6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1" s="2" customFormat="1" ht="15.6">
      <c r="N50" s="22"/>
    </row>
    <row r="51" spans="1:21" s="2" customFormat="1" ht="15.6">
      <c r="N51" s="22"/>
    </row>
    <row r="52" spans="1:21" s="2" customFormat="1" ht="15.6">
      <c r="N52" s="22"/>
    </row>
    <row r="53" spans="1:21" s="2" customFormat="1" ht="15.6">
      <c r="N53" s="22"/>
    </row>
    <row r="54" spans="1:21" s="2" customFormat="1" ht="15.6">
      <c r="N54" s="22"/>
    </row>
    <row r="55" spans="1:21" s="2" customFormat="1" ht="15.6">
      <c r="N55" s="22"/>
    </row>
    <row r="56" spans="1:21" s="2" customFormat="1" ht="15.6">
      <c r="N56" s="22"/>
    </row>
    <row r="57" spans="1:21" s="2" customFormat="1" ht="15.6">
      <c r="N57" s="22"/>
    </row>
  </sheetData>
  <mergeCells count="60"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  <mergeCell ref="A1:B1"/>
    <mergeCell ref="C1:D1"/>
    <mergeCell ref="E1:E2"/>
    <mergeCell ref="F1:H2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403860</xdr:colOff>
                    <xdr:row>0</xdr:row>
                    <xdr:rowOff>22860</xdr:rowOff>
                  </from>
                  <to>
                    <xdr:col>14</xdr:col>
                    <xdr:colOff>403860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3807-E2AA-4373-AA20-A550D3C11451}">
  <sheetPr codeName="Sheet6"/>
  <dimension ref="A1:AD57"/>
  <sheetViews>
    <sheetView workbookViewId="0">
      <selection activeCell="J5" sqref="J5:L5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4.3984375" customWidth="1"/>
    <col min="8" max="8" width="15.8984375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8.796875" style="18"/>
    <col min="15" max="15" width="10.5" customWidth="1"/>
  </cols>
  <sheetData>
    <row r="1" spans="1:30" ht="16.5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</row>
    <row r="2" spans="1:30" ht="16.5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PLISTBYMACHINE ;</v>
      </c>
    </row>
    <row r="4" spans="1:30" ht="16.5" customHeight="1">
      <c r="A4" s="115" t="s">
        <v>12</v>
      </c>
      <c r="B4" s="115"/>
      <c r="C4" s="115"/>
      <c r="D4" s="115"/>
      <c r="E4" s="6" t="s">
        <v>13</v>
      </c>
      <c r="F4" s="136" t="str">
        <f>UPPER("plistbymachine")</f>
        <v>PLISTBYMACHINE</v>
      </c>
      <c r="G4" s="136"/>
      <c r="H4" s="136"/>
      <c r="I4" s="58" t="s">
        <v>14</v>
      </c>
      <c r="J4" s="122" t="s">
        <v>117</v>
      </c>
      <c r="K4" s="123"/>
      <c r="L4" s="124"/>
      <c r="M4" s="36"/>
      <c r="N4" s="20"/>
      <c r="O4" s="17"/>
    </row>
    <row r="5" spans="1:30" ht="16.5" customHeight="1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8" t="s">
        <v>33</v>
      </c>
      <c r="J5" s="122"/>
      <c r="K5" s="123"/>
      <c r="L5" s="124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71" t="str">
        <f>CONCATENATE("CREATE TABLE ",$F$4," (")</f>
        <v>CREATE TABLE PLISTBYMACHINE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PLISTBYMACHINE IS '기계 생산가능 제품'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104</v>
      </c>
      <c r="C7" s="59" t="s">
        <v>41</v>
      </c>
      <c r="D7" s="59" t="s">
        <v>44</v>
      </c>
      <c r="E7" s="59" t="s">
        <v>46</v>
      </c>
      <c r="F7" s="91">
        <v>5</v>
      </c>
      <c r="G7" s="95" t="s">
        <v>73</v>
      </c>
      <c r="H7" s="95" t="s">
        <v>107</v>
      </c>
      <c r="I7" s="96"/>
      <c r="J7" s="137"/>
      <c r="K7" s="137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PLISTBYMACHINE.MachineID IS '기계ID'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5.6">
      <c r="A8" s="104">
        <v>2</v>
      </c>
      <c r="B8" s="59" t="s">
        <v>105</v>
      </c>
      <c r="C8" s="59" t="s">
        <v>64</v>
      </c>
      <c r="D8" s="59" t="s">
        <v>44</v>
      </c>
      <c r="E8" s="59" t="s">
        <v>46</v>
      </c>
      <c r="F8" s="92">
        <v>5</v>
      </c>
      <c r="G8" s="95" t="s">
        <v>73</v>
      </c>
      <c r="H8" s="98" t="s">
        <v>108</v>
      </c>
      <c r="I8" s="59"/>
      <c r="J8" s="137"/>
      <c r="K8" s="137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PLISTBYMACHINE.ProductionID IS '제품ID'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106</v>
      </c>
      <c r="C9" s="59" t="s">
        <v>103</v>
      </c>
      <c r="D9" s="59" t="s">
        <v>92</v>
      </c>
      <c r="E9" s="59" t="s">
        <v>63</v>
      </c>
      <c r="F9" s="92"/>
      <c r="G9" s="95"/>
      <c r="H9" s="95"/>
      <c r="I9" s="96"/>
      <c r="J9" s="155"/>
      <c r="K9" s="155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CapacityPerDay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PLISTBYMACHINE.CapacityPerDay IS '하루예상생산량'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5.6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56"/>
      <c r="K10" s="156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PLISTBYMACHINE.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5.6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55"/>
      <c r="K11" s="155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PLISTBYMACHINE.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37"/>
      <c r="K12" s="137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PLISTBYMACHINE.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5.6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37"/>
      <c r="K13" s="137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PLISTBYMACHINE.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5.6">
      <c r="A14" s="104">
        <v>8</v>
      </c>
      <c r="B14" s="59"/>
      <c r="C14" s="59"/>
      <c r="D14" s="67"/>
      <c r="E14" s="88"/>
      <c r="F14" s="94"/>
      <c r="G14" s="95"/>
      <c r="H14" s="95" t="s">
        <v>26</v>
      </c>
      <c r="I14" s="96"/>
      <c r="J14" s="137"/>
      <c r="K14" s="137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PLISTBYMACHINE.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5.6">
      <c r="A15" s="104">
        <v>9</v>
      </c>
      <c r="B15" s="66"/>
      <c r="C15" s="66"/>
      <c r="D15" s="70"/>
      <c r="E15" s="90"/>
      <c r="F15" s="93"/>
      <c r="G15" s="95"/>
      <c r="H15" s="95" t="s">
        <v>26</v>
      </c>
      <c r="I15" s="100"/>
      <c r="J15" s="137"/>
      <c r="K15" s="137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PLISTBYMACHINE.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5.6">
      <c r="A16" s="104">
        <v>10</v>
      </c>
      <c r="B16" s="101"/>
      <c r="C16" s="101"/>
      <c r="D16" s="69"/>
      <c r="E16" s="102"/>
      <c r="F16" s="103"/>
      <c r="G16" s="95"/>
      <c r="H16" s="95" t="s">
        <v>26</v>
      </c>
      <c r="I16" s="96"/>
      <c r="J16" s="137"/>
      <c r="K16" s="137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PLISTBYMACHINE.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5.6">
      <c r="A17" s="104">
        <v>11</v>
      </c>
      <c r="B17" s="101"/>
      <c r="C17" s="101"/>
      <c r="D17" s="67"/>
      <c r="E17" s="102"/>
      <c r="F17" s="103"/>
      <c r="G17" s="95"/>
      <c r="H17" s="95" t="s">
        <v>26</v>
      </c>
      <c r="I17" s="96"/>
      <c r="J17" s="137"/>
      <c r="K17" s="137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PLISTBYMACHINE.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5.6">
      <c r="A18" s="104">
        <v>12</v>
      </c>
      <c r="B18" s="101"/>
      <c r="C18" s="101"/>
      <c r="D18" s="68"/>
      <c r="E18" s="102"/>
      <c r="F18" s="103"/>
      <c r="G18" s="95"/>
      <c r="H18" s="95" t="s">
        <v>26</v>
      </c>
      <c r="I18" s="96"/>
      <c r="J18" s="137"/>
      <c r="K18" s="137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PLISTBYMACHINE.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5.6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37"/>
      <c r="K19" s="137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PLISTBYMACHINE.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5.6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37"/>
      <c r="K20" s="137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PLISTBYMACHINE.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5.6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37"/>
      <c r="K21" s="137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PLISTBYMACHINE.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5.6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37"/>
      <c r="K22" s="137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PLISTBYMACHINE.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37"/>
      <c r="K23" s="137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PLISTBYMACHINE.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5.6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37"/>
      <c r="K24" s="137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PLISTBYMACHINE.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37"/>
      <c r="K25" s="137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PLISTBYMACHINE.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5.6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37"/>
      <c r="K26" s="137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PLISTBYMACHINE.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5.6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37"/>
      <c r="K27" s="137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PLISTBYMACHINE.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5.6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37"/>
      <c r="K28" s="137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PLISTBYMACHINE.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5.6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37"/>
      <c r="K29" s="137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PLISTBYMACHINE.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5.6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37"/>
      <c r="K30" s="137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PLISTBYMACHINE.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5.6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37"/>
      <c r="K31" s="137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PLISTBYMACHINE.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5.6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37"/>
      <c r="K32" s="137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PLISTBYMACHINE.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5.6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37"/>
      <c r="K33" s="137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PLISTBYMACHINE.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5.6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37"/>
      <c r="K34" s="137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PLISTBYMACHINE.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5.6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37"/>
      <c r="K35" s="137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PLISTBYMACHINE.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5.6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37"/>
      <c r="K36" s="137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5.6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37"/>
      <c r="K37" s="137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37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5.6">
      <c r="A42" s="77" t="s">
        <v>11</v>
      </c>
      <c r="B42" s="77" t="s">
        <v>31</v>
      </c>
      <c r="C42" s="151" t="s">
        <v>15</v>
      </c>
      <c r="D42" s="151"/>
      <c r="E42" s="151"/>
      <c r="F42" s="151"/>
      <c r="G42" s="151"/>
      <c r="H42" s="77" t="s">
        <v>28</v>
      </c>
      <c r="I42" s="77" t="s">
        <v>17</v>
      </c>
      <c r="J42" s="152" t="s">
        <v>29</v>
      </c>
      <c r="K42" s="153"/>
      <c r="L42" s="154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5.6">
      <c r="A43" s="81">
        <v>1</v>
      </c>
      <c r="B43" s="64"/>
      <c r="C43" s="147"/>
      <c r="D43" s="147"/>
      <c r="E43" s="147"/>
      <c r="F43" s="147"/>
      <c r="G43" s="147"/>
      <c r="H43" s="81"/>
      <c r="I43" s="82"/>
      <c r="J43" s="148"/>
      <c r="K43" s="149"/>
      <c r="L43" s="150"/>
      <c r="M43" s="83"/>
      <c r="N43" s="79" t="str">
        <f>CONCATENATE("CREATE ", IF(H43&lt;&gt;"", "UNIQUE ", ""),"INDEX ", B43, " ON ", $F$4, "( ",C43, " ) " )</f>
        <v xml:space="preserve">CREATE INDEX  ON PLISTBYMACHINE(  ) </v>
      </c>
      <c r="O43" s="79"/>
      <c r="P43" s="80"/>
      <c r="Q43" s="80"/>
      <c r="R43" s="80"/>
      <c r="S43" s="80"/>
      <c r="T43" s="80"/>
      <c r="U43" s="80"/>
    </row>
    <row r="44" spans="1:29" s="2" customFormat="1" ht="15.6">
      <c r="A44" s="81">
        <v>2</v>
      </c>
      <c r="B44" s="64"/>
      <c r="C44" s="147"/>
      <c r="D44" s="147"/>
      <c r="E44" s="147"/>
      <c r="F44" s="147"/>
      <c r="G44" s="147"/>
      <c r="H44" s="81"/>
      <c r="I44" s="82"/>
      <c r="J44" s="148"/>
      <c r="K44" s="149"/>
      <c r="L44" s="150"/>
      <c r="M44" s="83"/>
      <c r="N44" s="79" t="str">
        <f t="shared" ref="N44:N46" si="2">CONCATENATE("CREATE ", IF(H44&lt;&gt;"", "UNIQUE ", ""),"INDEX ", B44, " ON ", $F$4, "( ",C44, " ) " )</f>
        <v xml:space="preserve">CREATE INDEX  ON PLISTBYMACHINE(  ) </v>
      </c>
      <c r="O44" s="79"/>
      <c r="P44" s="80"/>
      <c r="Q44" s="80"/>
      <c r="R44" s="80"/>
      <c r="S44" s="80"/>
      <c r="T44" s="80"/>
      <c r="U44" s="80"/>
    </row>
    <row r="45" spans="1:29" s="2" customFormat="1" ht="15.6">
      <c r="A45" s="81">
        <v>3</v>
      </c>
      <c r="B45" s="64"/>
      <c r="C45" s="147"/>
      <c r="D45" s="147"/>
      <c r="E45" s="147"/>
      <c r="F45" s="147"/>
      <c r="G45" s="147"/>
      <c r="H45" s="81"/>
      <c r="I45" s="82"/>
      <c r="J45" s="84"/>
      <c r="K45" s="85"/>
      <c r="L45" s="86"/>
      <c r="M45" s="83"/>
      <c r="N45" s="79" t="str">
        <f t="shared" si="2"/>
        <v xml:space="preserve">CREATE INDEX  ON PLISTBYMACHINE(  ) </v>
      </c>
      <c r="O45" s="79"/>
      <c r="P45" s="80"/>
      <c r="Q45" s="80"/>
      <c r="R45" s="80"/>
      <c r="S45" s="80"/>
      <c r="T45" s="80"/>
      <c r="U45" s="80"/>
    </row>
    <row r="46" spans="1:29" s="2" customFormat="1" ht="15.6">
      <c r="A46" s="81">
        <v>4</v>
      </c>
      <c r="B46" s="64"/>
      <c r="C46" s="147"/>
      <c r="D46" s="147"/>
      <c r="E46" s="147"/>
      <c r="F46" s="147"/>
      <c r="G46" s="147"/>
      <c r="H46" s="81"/>
      <c r="I46" s="82"/>
      <c r="J46" s="148"/>
      <c r="K46" s="149"/>
      <c r="L46" s="150"/>
      <c r="M46" s="83"/>
      <c r="N46" s="79" t="str">
        <f t="shared" si="2"/>
        <v xml:space="preserve">CREATE INDEX  ON PLISTBYMACHINE(  ) </v>
      </c>
      <c r="O46" s="79"/>
      <c r="P46" s="80"/>
      <c r="Q46" s="80"/>
      <c r="R46" s="80"/>
      <c r="S46" s="80"/>
      <c r="T46" s="80"/>
      <c r="U46" s="80"/>
    </row>
    <row r="47" spans="1:29" s="2" customFormat="1" ht="15.6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5.6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1" s="2" customFormat="1" ht="15.6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1" s="2" customFormat="1" ht="15.6">
      <c r="N50" s="22"/>
    </row>
    <row r="51" spans="1:21" s="2" customFormat="1" ht="15.6">
      <c r="N51" s="22"/>
    </row>
    <row r="52" spans="1:21" s="2" customFormat="1" ht="15.6">
      <c r="N52" s="22"/>
    </row>
    <row r="53" spans="1:21" s="2" customFormat="1" ht="15.6">
      <c r="N53" s="22"/>
    </row>
    <row r="54" spans="1:21" s="2" customFormat="1" ht="15.6">
      <c r="N54" s="22"/>
    </row>
    <row r="55" spans="1:21" s="2" customFormat="1" ht="15.6">
      <c r="N55" s="22"/>
    </row>
    <row r="56" spans="1:21" s="2" customFormat="1" ht="15.6">
      <c r="N56" s="22"/>
    </row>
    <row r="57" spans="1:21" s="2" customFormat="1" ht="15.6">
      <c r="N57" s="22"/>
    </row>
  </sheetData>
  <mergeCells count="60"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C44:G44"/>
    <mergeCell ref="J44:L44"/>
    <mergeCell ref="C45:G45"/>
    <mergeCell ref="C46:G46"/>
    <mergeCell ref="J46:L46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403860</xdr:colOff>
                    <xdr:row>0</xdr:row>
                    <xdr:rowOff>22860</xdr:rowOff>
                  </from>
                  <to>
                    <xdr:col>14</xdr:col>
                    <xdr:colOff>403860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35CB-5460-47B2-BC4D-0153EF5946C8}">
  <sheetPr codeName="Sheet7"/>
  <dimension ref="A1:AD57"/>
  <sheetViews>
    <sheetView workbookViewId="0">
      <selection activeCell="J5" sqref="J5:L5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4.3984375" customWidth="1"/>
    <col min="8" max="8" width="15.8984375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8.796875" style="18"/>
    <col min="15" max="15" width="10.5" customWidth="1"/>
  </cols>
  <sheetData>
    <row r="1" spans="1:30" ht="16.5" customHeight="1">
      <c r="A1" s="113" t="s">
        <v>1</v>
      </c>
      <c r="B1" s="114"/>
      <c r="C1" s="115" t="s">
        <v>39</v>
      </c>
      <c r="D1" s="115"/>
      <c r="E1" s="115" t="s">
        <v>19</v>
      </c>
      <c r="F1" s="131" t="s">
        <v>2</v>
      </c>
      <c r="G1" s="131"/>
      <c r="H1" s="132"/>
      <c r="I1" s="16" t="s">
        <v>3</v>
      </c>
      <c r="J1" s="6" t="s">
        <v>40</v>
      </c>
      <c r="K1" s="11" t="s">
        <v>4</v>
      </c>
      <c r="L1" s="13">
        <v>43755</v>
      </c>
      <c r="M1" s="34"/>
    </row>
    <row r="2" spans="1:30" ht="16.5" customHeight="1">
      <c r="A2" s="116" t="s">
        <v>5</v>
      </c>
      <c r="B2" s="117"/>
      <c r="C2" s="115"/>
      <c r="D2" s="115"/>
      <c r="E2" s="115"/>
      <c r="F2" s="133"/>
      <c r="G2" s="133"/>
      <c r="H2" s="134"/>
      <c r="I2" s="1" t="s">
        <v>6</v>
      </c>
      <c r="J2" s="6"/>
      <c r="K2" s="15" t="s">
        <v>7</v>
      </c>
      <c r="L2" s="13"/>
      <c r="M2" s="34"/>
    </row>
    <row r="3" spans="1:30">
      <c r="A3" s="118" t="s">
        <v>0</v>
      </c>
      <c r="B3" s="119"/>
      <c r="C3" s="129"/>
      <c r="D3" s="130"/>
      <c r="E3" s="23" t="s">
        <v>8</v>
      </c>
      <c r="F3" s="135" t="s">
        <v>30</v>
      </c>
      <c r="G3" s="135"/>
      <c r="H3" s="135"/>
      <c r="I3" s="14" t="s">
        <v>9</v>
      </c>
      <c r="J3" s="6"/>
      <c r="K3" s="10" t="s">
        <v>10</v>
      </c>
      <c r="L3" s="12" t="s">
        <v>36</v>
      </c>
      <c r="M3" s="35"/>
      <c r="N3" s="19" t="str">
        <f>CONCATENATE("DROP TABLE ",F4," ;")</f>
        <v>DROP TABLE PRODUCTIONPLAN ;</v>
      </c>
    </row>
    <row r="4" spans="1:30" ht="16.5" customHeight="1">
      <c r="A4" s="115" t="s">
        <v>12</v>
      </c>
      <c r="B4" s="115"/>
      <c r="C4" s="115"/>
      <c r="D4" s="115"/>
      <c r="E4" s="6" t="s">
        <v>13</v>
      </c>
      <c r="F4" s="136" t="str">
        <f>UPPER("ProductionPlan")</f>
        <v>PRODUCTIONPLAN</v>
      </c>
      <c r="G4" s="136"/>
      <c r="H4" s="136"/>
      <c r="I4" s="58" t="s">
        <v>14</v>
      </c>
      <c r="J4" s="122" t="s">
        <v>118</v>
      </c>
      <c r="K4" s="123"/>
      <c r="L4" s="124"/>
      <c r="M4" s="36"/>
      <c r="N4" s="20"/>
      <c r="O4" s="17"/>
    </row>
    <row r="5" spans="1:30" ht="16.5" customHeight="1">
      <c r="A5" s="125" t="s">
        <v>32</v>
      </c>
      <c r="B5" s="126"/>
      <c r="C5" s="125"/>
      <c r="D5" s="126"/>
      <c r="E5" s="127" t="s">
        <v>34</v>
      </c>
      <c r="F5" s="128"/>
      <c r="G5" s="122" t="s">
        <v>35</v>
      </c>
      <c r="H5" s="124"/>
      <c r="I5" s="58" t="s">
        <v>33</v>
      </c>
      <c r="J5" s="122"/>
      <c r="K5" s="123"/>
      <c r="L5" s="124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20" t="s">
        <v>38</v>
      </c>
      <c r="K6" s="121"/>
      <c r="L6" s="107" t="s">
        <v>27</v>
      </c>
      <c r="M6" s="37"/>
      <c r="N6" s="71" t="str">
        <f>CONCATENATE("CREATE TABLE ",$F$4," (")</f>
        <v>CREATE TABLE PRODUCTIONPLAN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PRODUCTIONPLAN IS '생산계획'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113</v>
      </c>
      <c r="C7" s="59" t="s">
        <v>110</v>
      </c>
      <c r="D7" s="59" t="s">
        <v>44</v>
      </c>
      <c r="E7" s="59" t="s">
        <v>63</v>
      </c>
      <c r="F7" s="59"/>
      <c r="G7" s="95" t="s">
        <v>73</v>
      </c>
      <c r="H7" s="95"/>
      <c r="I7" s="96"/>
      <c r="J7" s="137" t="s">
        <v>74</v>
      </c>
      <c r="K7" s="137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ProductionPlanCode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PRODUCTIONPLAN.ProductionPlanCode IS '생산계획코드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5.6">
      <c r="A8" s="104">
        <v>2</v>
      </c>
      <c r="B8" s="59" t="s">
        <v>87</v>
      </c>
      <c r="C8" s="59" t="s">
        <v>64</v>
      </c>
      <c r="D8" s="59" t="s">
        <v>44</v>
      </c>
      <c r="E8" s="59" t="s">
        <v>46</v>
      </c>
      <c r="F8" s="59">
        <v>5</v>
      </c>
      <c r="G8" s="95"/>
      <c r="H8" s="98" t="s">
        <v>108</v>
      </c>
      <c r="I8" s="59"/>
      <c r="J8" s="137" t="s">
        <v>111</v>
      </c>
      <c r="K8" s="137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PRODUCTIONPLAN.ProductionID IS '제품ID  ( 생산가능제품인지? )'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89</v>
      </c>
      <c r="C9" s="65" t="s">
        <v>69</v>
      </c>
      <c r="D9" s="59" t="s">
        <v>44</v>
      </c>
      <c r="E9" s="59" t="s">
        <v>63</v>
      </c>
      <c r="F9" s="59"/>
      <c r="G9" s="95"/>
      <c r="H9" s="95"/>
      <c r="I9" s="96"/>
      <c r="J9" s="155"/>
      <c r="K9" s="155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Amount      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PRODUCTIONPLAN.Amount IS '갯수'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5.6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56"/>
      <c r="K10" s="156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PRODUCTIONPLAN.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5.6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55"/>
      <c r="K11" s="155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PRODUCTIONPLAN.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37"/>
      <c r="K12" s="137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PRODUCTIONPLAN.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5.6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37"/>
      <c r="K13" s="137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PRODUCTIONPLAN.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5.6">
      <c r="A14" s="104">
        <v>8</v>
      </c>
      <c r="B14" s="59"/>
      <c r="C14" s="59"/>
      <c r="D14" s="67"/>
      <c r="E14" s="88"/>
      <c r="F14" s="94"/>
      <c r="G14" s="95"/>
      <c r="H14" s="95" t="s">
        <v>26</v>
      </c>
      <c r="I14" s="96"/>
      <c r="J14" s="137"/>
      <c r="K14" s="137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PRODUCTIONPLAN.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5.6">
      <c r="A15" s="104">
        <v>9</v>
      </c>
      <c r="B15" s="66"/>
      <c r="C15" s="66"/>
      <c r="D15" s="70"/>
      <c r="E15" s="90"/>
      <c r="F15" s="93"/>
      <c r="G15" s="95"/>
      <c r="H15" s="95" t="s">
        <v>26</v>
      </c>
      <c r="I15" s="100"/>
      <c r="J15" s="137"/>
      <c r="K15" s="137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PRODUCTIONPLAN.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5.6">
      <c r="A16" s="104">
        <v>10</v>
      </c>
      <c r="B16" s="101"/>
      <c r="C16" s="101"/>
      <c r="D16" s="67"/>
      <c r="E16" s="102"/>
      <c r="F16" s="103"/>
      <c r="G16" s="95"/>
      <c r="H16" s="95" t="s">
        <v>26</v>
      </c>
      <c r="I16" s="96"/>
      <c r="J16" s="137"/>
      <c r="K16" s="137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PRODUCTIONPLAN.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5.6">
      <c r="A17" s="104">
        <v>11</v>
      </c>
      <c r="B17" s="101"/>
      <c r="C17" s="101"/>
      <c r="D17" s="67"/>
      <c r="E17" s="102"/>
      <c r="F17" s="103"/>
      <c r="G17" s="95"/>
      <c r="H17" s="95" t="s">
        <v>26</v>
      </c>
      <c r="I17" s="96"/>
      <c r="J17" s="137"/>
      <c r="K17" s="137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PRODUCTIONPLAN.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5.6">
      <c r="A18" s="104">
        <v>12</v>
      </c>
      <c r="B18" s="101"/>
      <c r="C18" s="101"/>
      <c r="D18" s="68"/>
      <c r="E18" s="102"/>
      <c r="F18" s="103"/>
      <c r="G18" s="95"/>
      <c r="H18" s="95" t="s">
        <v>26</v>
      </c>
      <c r="I18" s="96"/>
      <c r="J18" s="137"/>
      <c r="K18" s="137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PRODUCTIONPLAN.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5.6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37"/>
      <c r="K19" s="137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PRODUCTIONPLAN.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5.6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37"/>
      <c r="K20" s="137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PRODUCTIONPLAN.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5.6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37"/>
      <c r="K21" s="137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PRODUCTIONPLAN.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5.6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37"/>
      <c r="K22" s="137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PRODUCTIONPLAN.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37"/>
      <c r="K23" s="137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PRODUCTIONPLAN.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5.6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37"/>
      <c r="K24" s="137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PRODUCTIONPLAN.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37"/>
      <c r="K25" s="137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PRODUCTIONPLAN.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5.6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37"/>
      <c r="K26" s="137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PRODUCTIONPLAN.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5.6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37"/>
      <c r="K27" s="137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PRODUCTIONPLAN.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5.6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37"/>
      <c r="K28" s="137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PRODUCTIONPLAN.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5.6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37"/>
      <c r="K29" s="137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PRODUCTIONPLAN.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5.6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37"/>
      <c r="K30" s="137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PRODUCTIONPLAN.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5.6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37"/>
      <c r="K31" s="137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PRODUCTIONPLAN.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5.6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37"/>
      <c r="K32" s="137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PRODUCTIONPLAN.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5.6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37"/>
      <c r="K33" s="137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PRODUCTIONPLAN.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5.6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37"/>
      <c r="K34" s="137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PRODUCTIONPLAN.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5.6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37"/>
      <c r="K35" s="137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PRODUCTIONPLAN.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5.6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37"/>
      <c r="K36" s="137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5.6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37"/>
      <c r="K37" s="137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12"/>
      <c r="K38" s="112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37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5.6">
      <c r="A42" s="77" t="s">
        <v>11</v>
      </c>
      <c r="B42" s="77" t="s">
        <v>31</v>
      </c>
      <c r="C42" s="151" t="s">
        <v>15</v>
      </c>
      <c r="D42" s="151"/>
      <c r="E42" s="151"/>
      <c r="F42" s="151"/>
      <c r="G42" s="151"/>
      <c r="H42" s="77" t="s">
        <v>28</v>
      </c>
      <c r="I42" s="77" t="s">
        <v>17</v>
      </c>
      <c r="J42" s="152" t="s">
        <v>29</v>
      </c>
      <c r="K42" s="153"/>
      <c r="L42" s="154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5.6">
      <c r="A43" s="81">
        <v>1</v>
      </c>
      <c r="B43" s="64"/>
      <c r="C43" s="147"/>
      <c r="D43" s="147"/>
      <c r="E43" s="147"/>
      <c r="F43" s="147"/>
      <c r="G43" s="147"/>
      <c r="H43" s="81"/>
      <c r="I43" s="82"/>
      <c r="J43" s="148"/>
      <c r="K43" s="149"/>
      <c r="L43" s="150"/>
      <c r="M43" s="83"/>
      <c r="N43" s="79" t="str">
        <f>CONCATENATE("CREATE ", IF(H43&lt;&gt;"", "UNIQUE ", ""),"INDEX ", B43, " ON ", $F$4, "( ",C43, " ) " )</f>
        <v xml:space="preserve">CREATE INDEX  ON PRODUCTIONPLAN(  ) </v>
      </c>
      <c r="O43" s="79"/>
      <c r="P43" s="80"/>
      <c r="Q43" s="80"/>
      <c r="R43" s="80"/>
      <c r="S43" s="80"/>
      <c r="T43" s="80"/>
      <c r="U43" s="80"/>
    </row>
    <row r="44" spans="1:29" s="2" customFormat="1" ht="15.6">
      <c r="A44" s="81">
        <v>2</v>
      </c>
      <c r="B44" s="64"/>
      <c r="C44" s="147"/>
      <c r="D44" s="147"/>
      <c r="E44" s="147"/>
      <c r="F44" s="147"/>
      <c r="G44" s="147"/>
      <c r="H44" s="81"/>
      <c r="I44" s="82"/>
      <c r="J44" s="148"/>
      <c r="K44" s="149"/>
      <c r="L44" s="150"/>
      <c r="M44" s="83"/>
      <c r="N44" s="79" t="str">
        <f t="shared" ref="N44:N46" si="2">CONCATENATE("CREATE ", IF(H44&lt;&gt;"", "UNIQUE ", ""),"INDEX ", B44, " ON ", $F$4, "( ",C44, " ) " )</f>
        <v xml:space="preserve">CREATE INDEX  ON PRODUCTIONPLAN(  ) </v>
      </c>
      <c r="O44" s="79"/>
      <c r="P44" s="80"/>
      <c r="Q44" s="80"/>
      <c r="R44" s="80"/>
      <c r="S44" s="80"/>
      <c r="T44" s="80"/>
      <c r="U44" s="80"/>
    </row>
    <row r="45" spans="1:29" s="2" customFormat="1" ht="15.6">
      <c r="A45" s="81">
        <v>3</v>
      </c>
      <c r="B45" s="64"/>
      <c r="C45" s="147"/>
      <c r="D45" s="147"/>
      <c r="E45" s="147"/>
      <c r="F45" s="147"/>
      <c r="G45" s="147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PRODUCTIONPLAN(  ) </v>
      </c>
      <c r="O45" s="79"/>
      <c r="P45" s="80"/>
      <c r="Q45" s="80"/>
      <c r="R45" s="80"/>
      <c r="S45" s="80"/>
      <c r="T45" s="80"/>
      <c r="U45" s="80"/>
    </row>
    <row r="46" spans="1:29" s="2" customFormat="1" ht="15.6">
      <c r="A46" s="81">
        <v>4</v>
      </c>
      <c r="B46" s="64"/>
      <c r="C46" s="147"/>
      <c r="D46" s="147"/>
      <c r="E46" s="147"/>
      <c r="F46" s="147"/>
      <c r="G46" s="147"/>
      <c r="H46" s="81"/>
      <c r="I46" s="82"/>
      <c r="J46" s="148"/>
      <c r="K46" s="149"/>
      <c r="L46" s="150"/>
      <c r="M46" s="83"/>
      <c r="N46" s="79" t="str">
        <f t="shared" si="2"/>
        <v xml:space="preserve">CREATE INDEX  ON PRODUCTIONPLAN(  ) </v>
      </c>
      <c r="O46" s="79"/>
      <c r="P46" s="80"/>
      <c r="Q46" s="80"/>
      <c r="R46" s="80"/>
      <c r="S46" s="80"/>
      <c r="T46" s="80"/>
      <c r="U46" s="80"/>
    </row>
    <row r="47" spans="1:29" s="2" customFormat="1" ht="15.6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5.6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1" s="2" customFormat="1" ht="15.6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1" s="2" customFormat="1" ht="15.6">
      <c r="N50" s="22"/>
    </row>
    <row r="51" spans="1:21" s="2" customFormat="1" ht="15.6">
      <c r="N51" s="22"/>
    </row>
    <row r="52" spans="1:21" s="2" customFormat="1" ht="15.6">
      <c r="N52" s="22"/>
    </row>
    <row r="53" spans="1:21" s="2" customFormat="1" ht="15.6">
      <c r="N53" s="22"/>
    </row>
    <row r="54" spans="1:21" s="2" customFormat="1" ht="15.6">
      <c r="N54" s="22"/>
    </row>
    <row r="55" spans="1:21" s="2" customFormat="1" ht="15.6">
      <c r="N55" s="22"/>
    </row>
    <row r="56" spans="1:21" s="2" customFormat="1" ht="15.6">
      <c r="N56" s="22"/>
    </row>
    <row r="57" spans="1:21" s="2" customFormat="1" ht="15.6">
      <c r="N57" s="22"/>
    </row>
  </sheetData>
  <mergeCells count="60"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C44:G44"/>
    <mergeCell ref="J44:L44"/>
    <mergeCell ref="C45:G45"/>
    <mergeCell ref="C46:G46"/>
    <mergeCell ref="J46:L46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403860</xdr:colOff>
                    <xdr:row>0</xdr:row>
                    <xdr:rowOff>22860</xdr:rowOff>
                  </from>
                  <to>
                    <xdr:col>14</xdr:col>
                    <xdr:colOff>403860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machine</vt:lpstr>
      <vt:lpstr>employee</vt:lpstr>
      <vt:lpstr>Production</vt:lpstr>
      <vt:lpstr>Todo</vt:lpstr>
      <vt:lpstr>ProductionList</vt:lpstr>
      <vt:lpstr>ProductionListByMachine</vt:lpstr>
      <vt:lpstr>ProductionPlan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jylee</dc:creator>
  <cp:lastModifiedBy>Boss</cp:lastModifiedBy>
  <dcterms:created xsi:type="dcterms:W3CDTF">2015-05-10T10:41:37Z</dcterms:created>
  <dcterms:modified xsi:type="dcterms:W3CDTF">2019-10-20T10:54:41Z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5a60e271-1f83-48c4-8dbe-c9321e6dc82c</vt:lpwstr>
  </property>
</Properties>
</file>