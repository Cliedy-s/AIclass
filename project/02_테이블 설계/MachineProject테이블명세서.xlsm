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AIclass\project\02_테이블 설계\"/>
    </mc:Choice>
  </mc:AlternateContent>
  <xr:revisionPtr revIDLastSave="0" documentId="13_ncr:1_{44287B49-1002-44C8-A056-C55253C5B8FA}" xr6:coauthVersionLast="45" xr6:coauthVersionMax="45" xr10:uidLastSave="{00000000-0000-0000-0000-000000000000}"/>
  <bookViews>
    <workbookView xWindow="-12030" yWindow="4080" windowWidth="21600" windowHeight="11385" activeTab="1" xr2:uid="{00000000-000D-0000-FFFF-FFFF00000000}"/>
  </bookViews>
  <sheets>
    <sheet name="machine" sheetId="1" r:id="rId1"/>
    <sheet name="employee" sheetId="2" r:id="rId2"/>
    <sheet name="Production" sheetId="6" r:id="rId3"/>
    <sheet name="Todo" sheetId="4" r:id="rId4"/>
    <sheet name="ProductionList" sheetId="3" r:id="rId5"/>
    <sheet name="ProductionListByMachine" sheetId="8" r:id="rId6"/>
    <sheet name="ProductionPlan" sheetId="10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82" i="10" l="1"/>
  <c r="G82" i="10"/>
  <c r="B82" i="10"/>
  <c r="M82" i="10" s="1"/>
  <c r="R81" i="10"/>
  <c r="G81" i="10"/>
  <c r="B81" i="10"/>
  <c r="M81" i="10" s="1"/>
  <c r="R80" i="10"/>
  <c r="M80" i="10"/>
  <c r="G80" i="10"/>
  <c r="B80" i="10"/>
  <c r="R79" i="10"/>
  <c r="G79" i="10"/>
  <c r="B79" i="10"/>
  <c r="M79" i="10" s="1"/>
  <c r="R78" i="10"/>
  <c r="G78" i="10"/>
  <c r="B78" i="10"/>
  <c r="M78" i="10" s="1"/>
  <c r="R77" i="10"/>
  <c r="M77" i="10"/>
  <c r="G77" i="10"/>
  <c r="B77" i="10"/>
  <c r="R76" i="10"/>
  <c r="G76" i="10"/>
  <c r="B76" i="10"/>
  <c r="M76" i="10" s="1"/>
  <c r="R75" i="10"/>
  <c r="G75" i="10"/>
  <c r="B75" i="10"/>
  <c r="M75" i="10" s="1"/>
  <c r="R74" i="10"/>
  <c r="M74" i="10"/>
  <c r="G74" i="10"/>
  <c r="B74" i="10"/>
  <c r="R73" i="10"/>
  <c r="G73" i="10"/>
  <c r="B73" i="10"/>
  <c r="M73" i="10" s="1"/>
  <c r="R72" i="10"/>
  <c r="G72" i="10"/>
  <c r="B72" i="10"/>
  <c r="M72" i="10" s="1"/>
  <c r="R71" i="10"/>
  <c r="M71" i="10"/>
  <c r="G71" i="10"/>
  <c r="B71" i="10"/>
  <c r="R70" i="10"/>
  <c r="G70" i="10"/>
  <c r="B70" i="10"/>
  <c r="M70" i="10" s="1"/>
  <c r="R69" i="10"/>
  <c r="G69" i="10"/>
  <c r="B69" i="10"/>
  <c r="M69" i="10" s="1"/>
  <c r="R68" i="10"/>
  <c r="M68" i="10"/>
  <c r="G68" i="10"/>
  <c r="B68" i="10"/>
  <c r="R67" i="10"/>
  <c r="G67" i="10"/>
  <c r="B67" i="10"/>
  <c r="M67" i="10" s="1"/>
  <c r="R66" i="10"/>
  <c r="G66" i="10"/>
  <c r="B66" i="10"/>
  <c r="M66" i="10" s="1"/>
  <c r="R65" i="10"/>
  <c r="M65" i="10"/>
  <c r="G65" i="10"/>
  <c r="B65" i="10"/>
  <c r="R64" i="10"/>
  <c r="G64" i="10"/>
  <c r="B64" i="10"/>
  <c r="M64" i="10" s="1"/>
  <c r="R63" i="10"/>
  <c r="G63" i="10"/>
  <c r="B63" i="10"/>
  <c r="M63" i="10" s="1"/>
  <c r="R62" i="10"/>
  <c r="M62" i="10"/>
  <c r="G62" i="10"/>
  <c r="B62" i="10"/>
  <c r="R61" i="10"/>
  <c r="G61" i="10"/>
  <c r="B61" i="10"/>
  <c r="M61" i="10" s="1"/>
  <c r="R60" i="10"/>
  <c r="G60" i="10"/>
  <c r="B60" i="10"/>
  <c r="M60" i="10" s="1"/>
  <c r="R59" i="10"/>
  <c r="M59" i="10"/>
  <c r="G59" i="10"/>
  <c r="B59" i="10"/>
  <c r="R58" i="10"/>
  <c r="G58" i="10"/>
  <c r="B58" i="10"/>
  <c r="M58" i="10" s="1"/>
  <c r="R57" i="10"/>
  <c r="G57" i="10"/>
  <c r="B57" i="10"/>
  <c r="M57" i="10" s="1"/>
  <c r="R56" i="10"/>
  <c r="M56" i="10"/>
  <c r="G56" i="10"/>
  <c r="B56" i="10"/>
  <c r="R55" i="10"/>
  <c r="G55" i="10"/>
  <c r="B55" i="10"/>
  <c r="M55" i="10" s="1"/>
  <c r="R54" i="10"/>
  <c r="G54" i="10"/>
  <c r="B54" i="10"/>
  <c r="M54" i="10" s="1"/>
  <c r="R53" i="10"/>
  <c r="M53" i="10"/>
  <c r="G53" i="10"/>
  <c r="B53" i="10"/>
  <c r="R52" i="10"/>
  <c r="G52" i="10"/>
  <c r="B52" i="10"/>
  <c r="M52" i="10" s="1"/>
  <c r="R82" i="8"/>
  <c r="G82" i="8"/>
  <c r="B82" i="8"/>
  <c r="M82" i="8" s="1"/>
  <c r="R81" i="8"/>
  <c r="G81" i="8"/>
  <c r="B81" i="8"/>
  <c r="M81" i="8" s="1"/>
  <c r="R80" i="8"/>
  <c r="M80" i="8"/>
  <c r="G80" i="8"/>
  <c r="B80" i="8"/>
  <c r="R79" i="8"/>
  <c r="G79" i="8"/>
  <c r="B79" i="8"/>
  <c r="M79" i="8" s="1"/>
  <c r="R78" i="8"/>
  <c r="G78" i="8"/>
  <c r="B78" i="8"/>
  <c r="M78" i="8" s="1"/>
  <c r="R77" i="8"/>
  <c r="M77" i="8"/>
  <c r="G77" i="8"/>
  <c r="B77" i="8"/>
  <c r="R76" i="8"/>
  <c r="G76" i="8"/>
  <c r="B76" i="8"/>
  <c r="M76" i="8" s="1"/>
  <c r="R75" i="8"/>
  <c r="G75" i="8"/>
  <c r="B75" i="8"/>
  <c r="M75" i="8" s="1"/>
  <c r="R74" i="8"/>
  <c r="M74" i="8"/>
  <c r="G74" i="8"/>
  <c r="B74" i="8"/>
  <c r="R73" i="8"/>
  <c r="G73" i="8"/>
  <c r="B73" i="8"/>
  <c r="M73" i="8" s="1"/>
  <c r="R72" i="8"/>
  <c r="G72" i="8"/>
  <c r="B72" i="8"/>
  <c r="M72" i="8" s="1"/>
  <c r="R71" i="8"/>
  <c r="M71" i="8"/>
  <c r="G71" i="8"/>
  <c r="B71" i="8"/>
  <c r="R70" i="8"/>
  <c r="G70" i="8"/>
  <c r="B70" i="8"/>
  <c r="M70" i="8" s="1"/>
  <c r="R69" i="8"/>
  <c r="G69" i="8"/>
  <c r="B69" i="8"/>
  <c r="M69" i="8" s="1"/>
  <c r="R68" i="8"/>
  <c r="M68" i="8"/>
  <c r="G68" i="8"/>
  <c r="B68" i="8"/>
  <c r="R67" i="8"/>
  <c r="G67" i="8"/>
  <c r="B67" i="8"/>
  <c r="M67" i="8" s="1"/>
  <c r="R66" i="8"/>
  <c r="G66" i="8"/>
  <c r="B66" i="8"/>
  <c r="M66" i="8" s="1"/>
  <c r="R65" i="8"/>
  <c r="M65" i="8"/>
  <c r="G65" i="8"/>
  <c r="B65" i="8"/>
  <c r="R64" i="8"/>
  <c r="G64" i="8"/>
  <c r="B64" i="8"/>
  <c r="M64" i="8" s="1"/>
  <c r="R63" i="8"/>
  <c r="G63" i="8"/>
  <c r="B63" i="8"/>
  <c r="M63" i="8" s="1"/>
  <c r="R62" i="8"/>
  <c r="M62" i="8"/>
  <c r="G62" i="8"/>
  <c r="B62" i="8"/>
  <c r="R61" i="8"/>
  <c r="G61" i="8"/>
  <c r="B61" i="8"/>
  <c r="M61" i="8" s="1"/>
  <c r="R60" i="8"/>
  <c r="G60" i="8"/>
  <c r="B60" i="8"/>
  <c r="M60" i="8" s="1"/>
  <c r="R59" i="8"/>
  <c r="M59" i="8"/>
  <c r="G59" i="8"/>
  <c r="B59" i="8"/>
  <c r="R58" i="8"/>
  <c r="G58" i="8"/>
  <c r="B58" i="8"/>
  <c r="M58" i="8" s="1"/>
  <c r="R57" i="8"/>
  <c r="G57" i="8"/>
  <c r="B57" i="8"/>
  <c r="M57" i="8" s="1"/>
  <c r="R56" i="8"/>
  <c r="M56" i="8"/>
  <c r="G56" i="8"/>
  <c r="B56" i="8"/>
  <c r="R55" i="8"/>
  <c r="G55" i="8"/>
  <c r="B55" i="8"/>
  <c r="M55" i="8" s="1"/>
  <c r="R54" i="8"/>
  <c r="G54" i="8"/>
  <c r="B54" i="8"/>
  <c r="M54" i="8" s="1"/>
  <c r="R53" i="8"/>
  <c r="M53" i="8"/>
  <c r="G53" i="8"/>
  <c r="B53" i="8"/>
  <c r="R52" i="8"/>
  <c r="G52" i="8"/>
  <c r="B52" i="8"/>
  <c r="M52" i="8" s="1"/>
  <c r="R82" i="3"/>
  <c r="M82" i="3"/>
  <c r="G82" i="3"/>
  <c r="B82" i="3"/>
  <c r="R81" i="3"/>
  <c r="G81" i="3"/>
  <c r="B81" i="3"/>
  <c r="M81" i="3" s="1"/>
  <c r="R80" i="3"/>
  <c r="M80" i="3"/>
  <c r="G80" i="3"/>
  <c r="B80" i="3"/>
  <c r="R79" i="3"/>
  <c r="G79" i="3"/>
  <c r="B79" i="3"/>
  <c r="M79" i="3" s="1"/>
  <c r="R78" i="3"/>
  <c r="G78" i="3"/>
  <c r="B78" i="3"/>
  <c r="M78" i="3" s="1"/>
  <c r="R77" i="3"/>
  <c r="M77" i="3"/>
  <c r="G77" i="3"/>
  <c r="B77" i="3"/>
  <c r="R76" i="3"/>
  <c r="G76" i="3"/>
  <c r="B76" i="3"/>
  <c r="M76" i="3" s="1"/>
  <c r="R75" i="3"/>
  <c r="G75" i="3"/>
  <c r="B75" i="3"/>
  <c r="M75" i="3" s="1"/>
  <c r="R74" i="3"/>
  <c r="G74" i="3"/>
  <c r="B74" i="3"/>
  <c r="M74" i="3" s="1"/>
  <c r="R73" i="3"/>
  <c r="G73" i="3"/>
  <c r="B73" i="3"/>
  <c r="M73" i="3" s="1"/>
  <c r="R72" i="3"/>
  <c r="G72" i="3"/>
  <c r="B72" i="3"/>
  <c r="M72" i="3" s="1"/>
  <c r="R71" i="3"/>
  <c r="G71" i="3"/>
  <c r="B71" i="3"/>
  <c r="M71" i="3" s="1"/>
  <c r="R70" i="3"/>
  <c r="G70" i="3"/>
  <c r="B70" i="3"/>
  <c r="M70" i="3" s="1"/>
  <c r="R69" i="3"/>
  <c r="G69" i="3"/>
  <c r="B69" i="3"/>
  <c r="M69" i="3" s="1"/>
  <c r="R68" i="3"/>
  <c r="G68" i="3"/>
  <c r="B68" i="3"/>
  <c r="M68" i="3" s="1"/>
  <c r="R67" i="3"/>
  <c r="M67" i="3"/>
  <c r="G67" i="3"/>
  <c r="B67" i="3"/>
  <c r="R66" i="3"/>
  <c r="G66" i="3"/>
  <c r="B66" i="3"/>
  <c r="M66" i="3" s="1"/>
  <c r="R65" i="3"/>
  <c r="G65" i="3"/>
  <c r="B65" i="3"/>
  <c r="M65" i="3" s="1"/>
  <c r="R64" i="3"/>
  <c r="M64" i="3"/>
  <c r="G64" i="3"/>
  <c r="B64" i="3"/>
  <c r="R63" i="3"/>
  <c r="G63" i="3"/>
  <c r="B63" i="3"/>
  <c r="M63" i="3" s="1"/>
  <c r="R62" i="3"/>
  <c r="M62" i="3"/>
  <c r="G62" i="3"/>
  <c r="B62" i="3"/>
  <c r="R61" i="3"/>
  <c r="G61" i="3"/>
  <c r="B61" i="3"/>
  <c r="M61" i="3" s="1"/>
  <c r="R60" i="3"/>
  <c r="G60" i="3"/>
  <c r="B60" i="3"/>
  <c r="M60" i="3" s="1"/>
  <c r="R59" i="3"/>
  <c r="M59" i="3"/>
  <c r="G59" i="3"/>
  <c r="B59" i="3"/>
  <c r="R58" i="3"/>
  <c r="G58" i="3"/>
  <c r="B58" i="3"/>
  <c r="M58" i="3" s="1"/>
  <c r="R57" i="3"/>
  <c r="G57" i="3"/>
  <c r="B57" i="3"/>
  <c r="M57" i="3" s="1"/>
  <c r="R56" i="3"/>
  <c r="G56" i="3"/>
  <c r="B56" i="3"/>
  <c r="M56" i="3" s="1"/>
  <c r="R55" i="3"/>
  <c r="G55" i="3"/>
  <c r="B55" i="3"/>
  <c r="M55" i="3" s="1"/>
  <c r="R54" i="3"/>
  <c r="G54" i="3"/>
  <c r="B54" i="3"/>
  <c r="M54" i="3" s="1"/>
  <c r="R53" i="3"/>
  <c r="G53" i="3"/>
  <c r="B53" i="3"/>
  <c r="M53" i="3" s="1"/>
  <c r="R52" i="3"/>
  <c r="G52" i="3"/>
  <c r="B52" i="3"/>
  <c r="M52" i="3" s="1"/>
  <c r="R82" i="6"/>
  <c r="M82" i="6"/>
  <c r="G82" i="6"/>
  <c r="B82" i="6"/>
  <c r="R81" i="6"/>
  <c r="G81" i="6"/>
  <c r="B81" i="6"/>
  <c r="M81" i="6" s="1"/>
  <c r="R80" i="6"/>
  <c r="G80" i="6"/>
  <c r="B80" i="6"/>
  <c r="M80" i="6" s="1"/>
  <c r="R79" i="6"/>
  <c r="G79" i="6"/>
  <c r="B79" i="6"/>
  <c r="M79" i="6" s="1"/>
  <c r="R78" i="6"/>
  <c r="G78" i="6"/>
  <c r="B78" i="6"/>
  <c r="M78" i="6" s="1"/>
  <c r="R77" i="6"/>
  <c r="G77" i="6"/>
  <c r="B77" i="6"/>
  <c r="M77" i="6" s="1"/>
  <c r="R76" i="6"/>
  <c r="G76" i="6"/>
  <c r="B76" i="6"/>
  <c r="M76" i="6" s="1"/>
  <c r="R75" i="6"/>
  <c r="G75" i="6"/>
  <c r="B75" i="6"/>
  <c r="M75" i="6" s="1"/>
  <c r="R74" i="6"/>
  <c r="G74" i="6"/>
  <c r="B74" i="6"/>
  <c r="M74" i="6" s="1"/>
  <c r="R73" i="6"/>
  <c r="G73" i="6"/>
  <c r="B73" i="6"/>
  <c r="M73" i="6" s="1"/>
  <c r="R72" i="6"/>
  <c r="M72" i="6"/>
  <c r="G72" i="6"/>
  <c r="B72" i="6"/>
  <c r="R71" i="6"/>
  <c r="G71" i="6"/>
  <c r="B71" i="6"/>
  <c r="M71" i="6" s="1"/>
  <c r="R70" i="6"/>
  <c r="G70" i="6"/>
  <c r="B70" i="6"/>
  <c r="M70" i="6" s="1"/>
  <c r="R69" i="6"/>
  <c r="M69" i="6"/>
  <c r="G69" i="6"/>
  <c r="B69" i="6"/>
  <c r="R68" i="6"/>
  <c r="G68" i="6"/>
  <c r="B68" i="6"/>
  <c r="M68" i="6" s="1"/>
  <c r="R67" i="6"/>
  <c r="M67" i="6"/>
  <c r="G67" i="6"/>
  <c r="B67" i="6"/>
  <c r="R66" i="6"/>
  <c r="G66" i="6"/>
  <c r="B66" i="6"/>
  <c r="M66" i="6" s="1"/>
  <c r="R65" i="6"/>
  <c r="G65" i="6"/>
  <c r="B65" i="6"/>
  <c r="M65" i="6" s="1"/>
  <c r="R64" i="6"/>
  <c r="M64" i="6"/>
  <c r="G64" i="6"/>
  <c r="B64" i="6"/>
  <c r="R63" i="6"/>
  <c r="G63" i="6"/>
  <c r="B63" i="6"/>
  <c r="M63" i="6" s="1"/>
  <c r="R62" i="6"/>
  <c r="G62" i="6"/>
  <c r="B62" i="6"/>
  <c r="M62" i="6" s="1"/>
  <c r="R61" i="6"/>
  <c r="G61" i="6"/>
  <c r="B61" i="6"/>
  <c r="M61" i="6" s="1"/>
  <c r="R60" i="6"/>
  <c r="G60" i="6"/>
  <c r="B60" i="6"/>
  <c r="M60" i="6" s="1"/>
  <c r="R59" i="6"/>
  <c r="G59" i="6"/>
  <c r="B59" i="6"/>
  <c r="M59" i="6" s="1"/>
  <c r="R58" i="6"/>
  <c r="G58" i="6"/>
  <c r="B58" i="6"/>
  <c r="M58" i="6" s="1"/>
  <c r="R57" i="6"/>
  <c r="G57" i="6"/>
  <c r="B57" i="6"/>
  <c r="M57" i="6" s="1"/>
  <c r="R56" i="6"/>
  <c r="G56" i="6"/>
  <c r="B56" i="6"/>
  <c r="M56" i="6" s="1"/>
  <c r="R55" i="6"/>
  <c r="G55" i="6"/>
  <c r="B55" i="6"/>
  <c r="M55" i="6" s="1"/>
  <c r="R54" i="6"/>
  <c r="M54" i="6"/>
  <c r="G54" i="6"/>
  <c r="B54" i="6"/>
  <c r="R53" i="6"/>
  <c r="G53" i="6"/>
  <c r="B53" i="6"/>
  <c r="M53" i="6" s="1"/>
  <c r="R52" i="6"/>
  <c r="G52" i="6"/>
  <c r="B52" i="6"/>
  <c r="M52" i="6" s="1"/>
  <c r="R82" i="2"/>
  <c r="G82" i="2"/>
  <c r="B82" i="2"/>
  <c r="M82" i="2" s="1"/>
  <c r="R81" i="2"/>
  <c r="G81" i="2"/>
  <c r="B81" i="2"/>
  <c r="M81" i="2" s="1"/>
  <c r="R80" i="2"/>
  <c r="M80" i="2"/>
  <c r="G80" i="2"/>
  <c r="B80" i="2"/>
  <c r="R79" i="2"/>
  <c r="G79" i="2"/>
  <c r="B79" i="2"/>
  <c r="M79" i="2" s="1"/>
  <c r="R78" i="2"/>
  <c r="G78" i="2"/>
  <c r="B78" i="2"/>
  <c r="M78" i="2" s="1"/>
  <c r="R77" i="2"/>
  <c r="M77" i="2"/>
  <c r="G77" i="2"/>
  <c r="B77" i="2"/>
  <c r="R76" i="2"/>
  <c r="G76" i="2"/>
  <c r="B76" i="2"/>
  <c r="M76" i="2" s="1"/>
  <c r="R75" i="2"/>
  <c r="G75" i="2"/>
  <c r="B75" i="2"/>
  <c r="M75" i="2" s="1"/>
  <c r="R74" i="2"/>
  <c r="M74" i="2"/>
  <c r="G74" i="2"/>
  <c r="B74" i="2"/>
  <c r="R73" i="2"/>
  <c r="G73" i="2"/>
  <c r="B73" i="2"/>
  <c r="M73" i="2" s="1"/>
  <c r="R72" i="2"/>
  <c r="G72" i="2"/>
  <c r="B72" i="2"/>
  <c r="M72" i="2" s="1"/>
  <c r="R71" i="2"/>
  <c r="M71" i="2"/>
  <c r="G71" i="2"/>
  <c r="B71" i="2"/>
  <c r="R70" i="2"/>
  <c r="G70" i="2"/>
  <c r="B70" i="2"/>
  <c r="M70" i="2" s="1"/>
  <c r="R69" i="2"/>
  <c r="G69" i="2"/>
  <c r="B69" i="2"/>
  <c r="M69" i="2" s="1"/>
  <c r="R68" i="2"/>
  <c r="M68" i="2"/>
  <c r="G68" i="2"/>
  <c r="B68" i="2"/>
  <c r="R67" i="2"/>
  <c r="G67" i="2"/>
  <c r="B67" i="2"/>
  <c r="M67" i="2" s="1"/>
  <c r="R66" i="2"/>
  <c r="G66" i="2"/>
  <c r="B66" i="2"/>
  <c r="M66" i="2" s="1"/>
  <c r="R65" i="2"/>
  <c r="M65" i="2"/>
  <c r="G65" i="2"/>
  <c r="B65" i="2"/>
  <c r="R64" i="2"/>
  <c r="G64" i="2"/>
  <c r="B64" i="2"/>
  <c r="M64" i="2" s="1"/>
  <c r="R63" i="2"/>
  <c r="G63" i="2"/>
  <c r="B63" i="2"/>
  <c r="M63" i="2" s="1"/>
  <c r="R62" i="2"/>
  <c r="M62" i="2"/>
  <c r="G62" i="2"/>
  <c r="B62" i="2"/>
  <c r="R61" i="2"/>
  <c r="G61" i="2"/>
  <c r="B61" i="2"/>
  <c r="M61" i="2" s="1"/>
  <c r="R60" i="2"/>
  <c r="G60" i="2"/>
  <c r="B60" i="2"/>
  <c r="M60" i="2" s="1"/>
  <c r="R59" i="2"/>
  <c r="M59" i="2"/>
  <c r="G59" i="2"/>
  <c r="B59" i="2"/>
  <c r="R58" i="2"/>
  <c r="G58" i="2"/>
  <c r="B58" i="2"/>
  <c r="M58" i="2" s="1"/>
  <c r="R57" i="2"/>
  <c r="G57" i="2"/>
  <c r="B57" i="2"/>
  <c r="M57" i="2" s="1"/>
  <c r="R56" i="2"/>
  <c r="M56" i="2"/>
  <c r="G56" i="2"/>
  <c r="B56" i="2"/>
  <c r="R55" i="2"/>
  <c r="G55" i="2"/>
  <c r="B55" i="2"/>
  <c r="M55" i="2" s="1"/>
  <c r="R54" i="2"/>
  <c r="G54" i="2"/>
  <c r="B54" i="2"/>
  <c r="M54" i="2" s="1"/>
  <c r="R53" i="2"/>
  <c r="M53" i="2"/>
  <c r="G53" i="2"/>
  <c r="B53" i="2"/>
  <c r="R52" i="2"/>
  <c r="G52" i="2"/>
  <c r="B52" i="2"/>
  <c r="M52" i="2" s="1"/>
  <c r="R82" i="1"/>
  <c r="M82" i="1"/>
  <c r="G82" i="1"/>
  <c r="B82" i="1"/>
  <c r="R81" i="1"/>
  <c r="G81" i="1"/>
  <c r="B81" i="1"/>
  <c r="M81" i="1" s="1"/>
  <c r="R80" i="1"/>
  <c r="M80" i="1"/>
  <c r="G80" i="1"/>
  <c r="B80" i="1"/>
  <c r="R79" i="1"/>
  <c r="M79" i="1"/>
  <c r="G79" i="1"/>
  <c r="B79" i="1"/>
  <c r="R78" i="1"/>
  <c r="G78" i="1"/>
  <c r="B78" i="1"/>
  <c r="M78" i="1" s="1"/>
  <c r="R77" i="1"/>
  <c r="M77" i="1"/>
  <c r="G77" i="1"/>
  <c r="B77" i="1"/>
  <c r="R76" i="1"/>
  <c r="M76" i="1"/>
  <c r="G76" i="1"/>
  <c r="B76" i="1"/>
  <c r="R75" i="1"/>
  <c r="G75" i="1"/>
  <c r="B75" i="1"/>
  <c r="M75" i="1" s="1"/>
  <c r="R74" i="1"/>
  <c r="M74" i="1"/>
  <c r="G74" i="1"/>
  <c r="B74" i="1"/>
  <c r="R73" i="1"/>
  <c r="M73" i="1"/>
  <c r="G73" i="1"/>
  <c r="B73" i="1"/>
  <c r="R72" i="1"/>
  <c r="G72" i="1"/>
  <c r="B72" i="1"/>
  <c r="M72" i="1" s="1"/>
  <c r="R71" i="1"/>
  <c r="M71" i="1"/>
  <c r="G71" i="1"/>
  <c r="B71" i="1"/>
  <c r="R70" i="1"/>
  <c r="M70" i="1"/>
  <c r="G70" i="1"/>
  <c r="B70" i="1"/>
  <c r="R69" i="1"/>
  <c r="G69" i="1"/>
  <c r="B69" i="1"/>
  <c r="M69" i="1" s="1"/>
  <c r="R68" i="1"/>
  <c r="M68" i="1"/>
  <c r="G68" i="1"/>
  <c r="B68" i="1"/>
  <c r="R67" i="1"/>
  <c r="M67" i="1"/>
  <c r="G67" i="1"/>
  <c r="B67" i="1"/>
  <c r="R66" i="1"/>
  <c r="G66" i="1"/>
  <c r="B66" i="1"/>
  <c r="M66" i="1" s="1"/>
  <c r="R65" i="1"/>
  <c r="M65" i="1"/>
  <c r="G65" i="1"/>
  <c r="B65" i="1"/>
  <c r="R64" i="1"/>
  <c r="M64" i="1"/>
  <c r="G64" i="1"/>
  <c r="B64" i="1"/>
  <c r="R63" i="1"/>
  <c r="G63" i="1"/>
  <c r="B63" i="1"/>
  <c r="M63" i="1" s="1"/>
  <c r="R62" i="1"/>
  <c r="M62" i="1"/>
  <c r="G62" i="1"/>
  <c r="B62" i="1"/>
  <c r="R61" i="1"/>
  <c r="M61" i="1"/>
  <c r="G61" i="1"/>
  <c r="B61" i="1"/>
  <c r="R60" i="1"/>
  <c r="G60" i="1"/>
  <c r="B60" i="1"/>
  <c r="M60" i="1" s="1"/>
  <c r="R59" i="1"/>
  <c r="M59" i="1"/>
  <c r="G59" i="1"/>
  <c r="B59" i="1"/>
  <c r="R58" i="1"/>
  <c r="M58" i="1"/>
  <c r="G58" i="1"/>
  <c r="B58" i="1"/>
  <c r="R57" i="1"/>
  <c r="G57" i="1"/>
  <c r="B57" i="1"/>
  <c r="M57" i="1" s="1"/>
  <c r="R56" i="1"/>
  <c r="M56" i="1"/>
  <c r="G56" i="1"/>
  <c r="B56" i="1"/>
  <c r="R55" i="1"/>
  <c r="M55" i="1"/>
  <c r="G55" i="1"/>
  <c r="B55" i="1"/>
  <c r="R54" i="1"/>
  <c r="G54" i="1"/>
  <c r="B54" i="1"/>
  <c r="M54" i="1" s="1"/>
  <c r="R53" i="1"/>
  <c r="M53" i="1"/>
  <c r="G53" i="1"/>
  <c r="B53" i="1"/>
  <c r="R52" i="1"/>
  <c r="M52" i="1"/>
  <c r="G52" i="1"/>
  <c r="B52" i="1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R53" i="4"/>
  <c r="G53" i="4"/>
  <c r="M52" i="4"/>
  <c r="B52" i="4"/>
  <c r="N7" i="10"/>
  <c r="F4" i="10" l="1"/>
  <c r="N45" i="10" s="1"/>
  <c r="B47" i="10"/>
  <c r="N35" i="10"/>
  <c r="N3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F4" i="8"/>
  <c r="U32" i="8" s="1"/>
  <c r="B47" i="8"/>
  <c r="B47" i="6"/>
  <c r="N46" i="6"/>
  <c r="N45" i="6"/>
  <c r="N44" i="6"/>
  <c r="N43" i="6"/>
  <c r="U35" i="6"/>
  <c r="N35" i="6"/>
  <c r="U34" i="6"/>
  <c r="N34" i="6"/>
  <c r="U33" i="6"/>
  <c r="N33" i="6"/>
  <c r="U32" i="6"/>
  <c r="N32" i="6"/>
  <c r="U31" i="6"/>
  <c r="N31" i="6"/>
  <c r="U30" i="6"/>
  <c r="N30" i="6"/>
  <c r="U29" i="6"/>
  <c r="N29" i="6"/>
  <c r="U28" i="6"/>
  <c r="N28" i="6"/>
  <c r="U27" i="6"/>
  <c r="N27" i="6"/>
  <c r="U26" i="6"/>
  <c r="N26" i="6"/>
  <c r="U25" i="6"/>
  <c r="N25" i="6"/>
  <c r="U24" i="6"/>
  <c r="N24" i="6"/>
  <c r="U23" i="6"/>
  <c r="N23" i="6"/>
  <c r="U22" i="6"/>
  <c r="N22" i="6"/>
  <c r="U21" i="6"/>
  <c r="N21" i="6"/>
  <c r="U20" i="6"/>
  <c r="N20" i="6"/>
  <c r="U19" i="6"/>
  <c r="N19" i="6"/>
  <c r="U18" i="6"/>
  <c r="N18" i="6"/>
  <c r="U17" i="6"/>
  <c r="N17" i="6"/>
  <c r="U16" i="6"/>
  <c r="N16" i="6"/>
  <c r="U15" i="6"/>
  <c r="N15" i="6"/>
  <c r="U14" i="6"/>
  <c r="N14" i="6"/>
  <c r="U13" i="6"/>
  <c r="N13" i="6"/>
  <c r="U12" i="6"/>
  <c r="N12" i="6"/>
  <c r="U11" i="6"/>
  <c r="N11" i="6"/>
  <c r="U10" i="6"/>
  <c r="N10" i="6"/>
  <c r="U9" i="6"/>
  <c r="N9" i="6"/>
  <c r="U8" i="6"/>
  <c r="N8" i="6"/>
  <c r="U7" i="6"/>
  <c r="N7" i="6"/>
  <c r="U6" i="6"/>
  <c r="N6" i="6"/>
  <c r="N3" i="6"/>
  <c r="N7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6" i="4"/>
  <c r="B47" i="4"/>
  <c r="N46" i="4"/>
  <c r="N45" i="4"/>
  <c r="N44" i="4"/>
  <c r="N43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N3" i="4"/>
  <c r="N6" i="8" l="1"/>
  <c r="U32" i="10"/>
  <c r="U20" i="10"/>
  <c r="U8" i="10"/>
  <c r="U16" i="10"/>
  <c r="N44" i="10"/>
  <c r="N46" i="10"/>
  <c r="U24" i="10"/>
  <c r="N6" i="10"/>
  <c r="U12" i="10"/>
  <c r="U28" i="10"/>
  <c r="N3" i="10"/>
  <c r="U6" i="10"/>
  <c r="U10" i="10"/>
  <c r="U14" i="10"/>
  <c r="U18" i="10"/>
  <c r="U22" i="10"/>
  <c r="U26" i="10"/>
  <c r="U30" i="10"/>
  <c r="U34" i="10"/>
  <c r="U7" i="10"/>
  <c r="U11" i="10"/>
  <c r="U15" i="10"/>
  <c r="U19" i="10"/>
  <c r="U23" i="10"/>
  <c r="U27" i="10"/>
  <c r="U31" i="10"/>
  <c r="U35" i="10"/>
  <c r="N43" i="10"/>
  <c r="U9" i="10"/>
  <c r="U13" i="10"/>
  <c r="U17" i="10"/>
  <c r="U21" i="10"/>
  <c r="U25" i="10"/>
  <c r="U29" i="10"/>
  <c r="U33" i="10"/>
  <c r="N3" i="8"/>
  <c r="U34" i="8"/>
  <c r="U9" i="8"/>
  <c r="U13" i="8"/>
  <c r="U17" i="8"/>
  <c r="U21" i="8"/>
  <c r="U25" i="8"/>
  <c r="U29" i="8"/>
  <c r="U6" i="8"/>
  <c r="U10" i="8"/>
  <c r="U14" i="8"/>
  <c r="U18" i="8"/>
  <c r="U22" i="8"/>
  <c r="U26" i="8"/>
  <c r="U30" i="8"/>
  <c r="U15" i="8"/>
  <c r="N43" i="8"/>
  <c r="N44" i="8"/>
  <c r="U35" i="8"/>
  <c r="U7" i="8"/>
  <c r="U11" i="8"/>
  <c r="U19" i="8"/>
  <c r="U23" i="8"/>
  <c r="U27" i="8"/>
  <c r="U31" i="8"/>
  <c r="U8" i="8"/>
  <c r="U12" i="8"/>
  <c r="U16" i="8"/>
  <c r="U20" i="8"/>
  <c r="U24" i="8"/>
  <c r="U28" i="8"/>
  <c r="N45" i="8"/>
  <c r="U33" i="8"/>
  <c r="N46" i="8"/>
  <c r="N12" i="2"/>
  <c r="N7" i="3" l="1"/>
  <c r="N12" i="3"/>
  <c r="B47" i="3"/>
  <c r="N46" i="3"/>
  <c r="N45" i="3"/>
  <c r="N44" i="3"/>
  <c r="N43" i="3"/>
  <c r="U35" i="3"/>
  <c r="N35" i="3"/>
  <c r="U34" i="3"/>
  <c r="N34" i="3"/>
  <c r="U33" i="3"/>
  <c r="N33" i="3"/>
  <c r="U32" i="3"/>
  <c r="N32" i="3"/>
  <c r="U31" i="3"/>
  <c r="N31" i="3"/>
  <c r="U30" i="3"/>
  <c r="N30" i="3"/>
  <c r="U29" i="3"/>
  <c r="N29" i="3"/>
  <c r="U28" i="3"/>
  <c r="N28" i="3"/>
  <c r="U27" i="3"/>
  <c r="N27" i="3"/>
  <c r="U26" i="3"/>
  <c r="N26" i="3"/>
  <c r="U25" i="3"/>
  <c r="N25" i="3"/>
  <c r="U24" i="3"/>
  <c r="N24" i="3"/>
  <c r="U23" i="3"/>
  <c r="N23" i="3"/>
  <c r="U22" i="3"/>
  <c r="N22" i="3"/>
  <c r="U21" i="3"/>
  <c r="N21" i="3"/>
  <c r="U20" i="3"/>
  <c r="N20" i="3"/>
  <c r="U19" i="3"/>
  <c r="N19" i="3"/>
  <c r="U18" i="3"/>
  <c r="N18" i="3"/>
  <c r="U17" i="3"/>
  <c r="N17" i="3"/>
  <c r="U16" i="3"/>
  <c r="N16" i="3"/>
  <c r="U15" i="3"/>
  <c r="N15" i="3"/>
  <c r="U14" i="3"/>
  <c r="N14" i="3"/>
  <c r="U13" i="3"/>
  <c r="N13" i="3"/>
  <c r="U12" i="3"/>
  <c r="U11" i="3"/>
  <c r="N11" i="3"/>
  <c r="U10" i="3"/>
  <c r="N10" i="3"/>
  <c r="U9" i="3"/>
  <c r="N9" i="3"/>
  <c r="U8" i="3"/>
  <c r="N8" i="3"/>
  <c r="U7" i="3"/>
  <c r="U6" i="3"/>
  <c r="N6" i="3"/>
  <c r="N3" i="3"/>
  <c r="N13" i="2"/>
  <c r="B47" i="2"/>
  <c r="N46" i="2"/>
  <c r="N45" i="2"/>
  <c r="N44" i="2"/>
  <c r="N43" i="2"/>
  <c r="U35" i="2"/>
  <c r="N35" i="2"/>
  <c r="U34" i="2"/>
  <c r="N34" i="2"/>
  <c r="U33" i="2"/>
  <c r="N33" i="2"/>
  <c r="U32" i="2"/>
  <c r="N32" i="2"/>
  <c r="U31" i="2"/>
  <c r="N31" i="2"/>
  <c r="U30" i="2"/>
  <c r="N30" i="2"/>
  <c r="U29" i="2"/>
  <c r="N29" i="2"/>
  <c r="U28" i="2"/>
  <c r="N28" i="2"/>
  <c r="U27" i="2"/>
  <c r="N27" i="2"/>
  <c r="U26" i="2"/>
  <c r="N26" i="2"/>
  <c r="U25" i="2"/>
  <c r="N25" i="2"/>
  <c r="U24" i="2"/>
  <c r="N24" i="2"/>
  <c r="U23" i="2"/>
  <c r="N23" i="2"/>
  <c r="U22" i="2"/>
  <c r="N22" i="2"/>
  <c r="U21" i="2"/>
  <c r="N21" i="2"/>
  <c r="U20" i="2"/>
  <c r="N20" i="2"/>
  <c r="U19" i="2"/>
  <c r="N19" i="2"/>
  <c r="U18" i="2"/>
  <c r="N18" i="2"/>
  <c r="U17" i="2"/>
  <c r="N17" i="2"/>
  <c r="U16" i="2"/>
  <c r="N16" i="2"/>
  <c r="U15" i="2"/>
  <c r="N15" i="2"/>
  <c r="U14" i="2"/>
  <c r="N14" i="2"/>
  <c r="U13" i="2"/>
  <c r="U12" i="2"/>
  <c r="U11" i="2"/>
  <c r="N11" i="2"/>
  <c r="U10" i="2"/>
  <c r="N10" i="2"/>
  <c r="U9" i="2"/>
  <c r="N9" i="2"/>
  <c r="U8" i="2"/>
  <c r="N8" i="2"/>
  <c r="U7" i="2"/>
  <c r="N7" i="2"/>
  <c r="U6" i="2"/>
  <c r="N6" i="2"/>
  <c r="N3" i="2"/>
  <c r="N3" i="1" l="1"/>
  <c r="N9" i="1"/>
  <c r="N6" i="1"/>
  <c r="N7" i="1" l="1"/>
  <c r="N35" i="1" l="1"/>
  <c r="N34" i="1"/>
  <c r="N33" i="1"/>
  <c r="N32" i="1"/>
  <c r="U8" i="1"/>
  <c r="N14" i="1"/>
  <c r="U13" i="1" l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N13" i="1"/>
  <c r="N44" i="1" l="1"/>
  <c r="N45" i="1"/>
  <c r="N46" i="1"/>
  <c r="N43" i="1"/>
  <c r="N24" i="1"/>
  <c r="N25" i="1"/>
  <c r="N26" i="1"/>
  <c r="N27" i="1"/>
  <c r="N28" i="1"/>
  <c r="N29" i="1"/>
  <c r="N30" i="1"/>
  <c r="N31" i="1"/>
  <c r="N11" i="1"/>
  <c r="U11" i="1"/>
  <c r="N12" i="1"/>
  <c r="U12" i="1"/>
  <c r="N8" i="1" l="1"/>
  <c r="N10" i="1"/>
  <c r="N15" i="1"/>
  <c r="N16" i="1"/>
  <c r="N17" i="1"/>
  <c r="N18" i="1"/>
  <c r="N19" i="1"/>
  <c r="N20" i="1"/>
  <c r="N21" i="1"/>
  <c r="N22" i="1"/>
  <c r="N23" i="1"/>
  <c r="B47" i="1" l="1"/>
  <c r="U9" i="1"/>
  <c r="U10" i="1"/>
  <c r="U7" i="1" l="1"/>
  <c r="U6" i="1"/>
</calcChain>
</file>

<file path=xl/sharedStrings.xml><?xml version="1.0" encoding="utf-8"?>
<sst xmlns="http://schemas.openxmlformats.org/spreadsheetml/2006/main" count="491" uniqueCount="124">
  <si>
    <t>업무구분</t>
  </si>
  <si>
    <t>프로젝트  명</t>
  </si>
  <si>
    <t>테이블 명세서</t>
  </si>
  <si>
    <t>작성자</t>
  </si>
  <si>
    <t>작업일자</t>
  </si>
  <si>
    <t>시 스 템   명</t>
  </si>
  <si>
    <t>승인자</t>
  </si>
  <si>
    <t>승인일자</t>
  </si>
  <si>
    <t>단계</t>
  </si>
  <si>
    <t>문서번호</t>
  </si>
  <si>
    <t>Version</t>
  </si>
  <si>
    <t>No.</t>
    <phoneticPr fontId="2" type="noConversion"/>
  </si>
  <si>
    <t>업무약어</t>
    <phoneticPr fontId="2" type="noConversion"/>
  </si>
  <si>
    <t>Table ID</t>
    <phoneticPr fontId="2" type="noConversion"/>
  </si>
  <si>
    <t>Table Name</t>
    <phoneticPr fontId="2" type="noConversion"/>
  </si>
  <si>
    <t>Column List</t>
    <phoneticPr fontId="2" type="noConversion"/>
  </si>
  <si>
    <t>Data Type</t>
    <phoneticPr fontId="2" type="noConversion"/>
  </si>
  <si>
    <t>PK</t>
    <phoneticPr fontId="2" type="noConversion"/>
  </si>
  <si>
    <t>Default</t>
    <phoneticPr fontId="2" type="noConversion"/>
  </si>
  <si>
    <t>문서명</t>
    <phoneticPr fontId="2" type="noConversion"/>
  </si>
  <si>
    <t>컬럼명</t>
    <phoneticPr fontId="2" type="noConversion"/>
  </si>
  <si>
    <t>컬럼 한글명</t>
    <phoneticPr fontId="2" type="noConversion"/>
  </si>
  <si>
    <t>Null</t>
    <phoneticPr fontId="2" type="noConversion"/>
  </si>
  <si>
    <t>Length</t>
    <phoneticPr fontId="2" type="noConversion"/>
  </si>
  <si>
    <t>FK</t>
    <phoneticPr fontId="2" type="noConversion"/>
  </si>
  <si>
    <t>Y</t>
  </si>
  <si>
    <t>기타</t>
    <phoneticPr fontId="2" type="noConversion"/>
  </si>
  <si>
    <t>Uniquey</t>
    <phoneticPr fontId="2" type="noConversion"/>
  </si>
  <si>
    <t>Remark</t>
    <phoneticPr fontId="2" type="noConversion"/>
  </si>
  <si>
    <t>물리설계</t>
    <phoneticPr fontId="2" type="noConversion"/>
  </si>
  <si>
    <t>Index Name</t>
    <phoneticPr fontId="2" type="noConversion"/>
  </si>
  <si>
    <t>ERD Name</t>
    <phoneticPr fontId="2" type="noConversion"/>
  </si>
  <si>
    <t>Entity Name</t>
    <phoneticPr fontId="2" type="noConversion"/>
  </si>
  <si>
    <t>주제영역</t>
    <phoneticPr fontId="2" type="noConversion"/>
  </si>
  <si>
    <t>심사기본</t>
    <phoneticPr fontId="2" type="noConversion"/>
  </si>
  <si>
    <t>v0.1</t>
    <phoneticPr fontId="2" type="noConversion"/>
  </si>
  <si>
    <t>)</t>
    <phoneticPr fontId="2" type="noConversion"/>
  </si>
  <si>
    <t>Remark(Comment)</t>
    <phoneticPr fontId="2" type="noConversion"/>
  </si>
  <si>
    <t>MachineProject</t>
    <phoneticPr fontId="2" type="noConversion"/>
  </si>
  <si>
    <t>신소연</t>
    <phoneticPr fontId="2" type="noConversion"/>
  </si>
  <si>
    <t>기계ID</t>
    <phoneticPr fontId="28" type="noConversion"/>
  </si>
  <si>
    <t>가용여부</t>
    <phoneticPr fontId="28" type="noConversion"/>
  </si>
  <si>
    <t>b'0'</t>
    <phoneticPr fontId="28" type="noConversion"/>
  </si>
  <si>
    <t>N</t>
    <phoneticPr fontId="28" type="noConversion"/>
  </si>
  <si>
    <t>BIT</t>
    <phoneticPr fontId="28" type="noConversion"/>
  </si>
  <si>
    <t>CHAR</t>
    <phoneticPr fontId="28" type="noConversion"/>
  </si>
  <si>
    <t>MACHINE</t>
    <phoneticPr fontId="2" type="noConversion"/>
  </si>
  <si>
    <t>기계</t>
    <phoneticPr fontId="2" type="noConversion"/>
  </si>
  <si>
    <t>직원ID</t>
    <phoneticPr fontId="28" type="noConversion"/>
  </si>
  <si>
    <t>이름</t>
    <phoneticPr fontId="28" type="noConversion"/>
  </si>
  <si>
    <t>핸드폰</t>
  </si>
  <si>
    <t>이메일</t>
  </si>
  <si>
    <t>주소</t>
  </si>
  <si>
    <t>권한</t>
    <phoneticPr fontId="28" type="noConversion"/>
  </si>
  <si>
    <t>아이디</t>
    <phoneticPr fontId="28" type="noConversion"/>
  </si>
  <si>
    <t>비밀번호</t>
    <phoneticPr fontId="28" type="noConversion"/>
  </si>
  <si>
    <t>EMPLOYEES</t>
    <phoneticPr fontId="2" type="noConversion"/>
  </si>
  <si>
    <t>직원</t>
    <phoneticPr fontId="2" type="noConversion"/>
  </si>
  <si>
    <t>N</t>
    <phoneticPr fontId="28" type="noConversion"/>
  </si>
  <si>
    <t>관리자/ 직원</t>
  </si>
  <si>
    <t>VARCHAR</t>
    <phoneticPr fontId="28" type="noConversion"/>
  </si>
  <si>
    <t>제품기록코드</t>
    <phoneticPr fontId="28" type="noConversion"/>
  </si>
  <si>
    <t>INT</t>
    <phoneticPr fontId="28" type="noConversion"/>
  </si>
  <si>
    <t>제품ID</t>
    <phoneticPr fontId="28" type="noConversion"/>
  </si>
  <si>
    <t>생산가능제품인지?</t>
    <phoneticPr fontId="28" type="noConversion"/>
  </si>
  <si>
    <t>작업지시코드</t>
    <phoneticPr fontId="28" type="noConversion"/>
  </si>
  <si>
    <t>INT</t>
    <phoneticPr fontId="28" type="noConversion"/>
  </si>
  <si>
    <t>생산팀 직원</t>
    <phoneticPr fontId="28" type="noConversion"/>
  </si>
  <si>
    <t>갯수</t>
    <phoneticPr fontId="28" type="noConversion"/>
  </si>
  <si>
    <t>생산날짜</t>
    <phoneticPr fontId="28" type="noConversion"/>
  </si>
  <si>
    <t>DATETIME</t>
    <phoneticPr fontId="28" type="noConversion"/>
  </si>
  <si>
    <t>불량률</t>
    <phoneticPr fontId="28" type="noConversion"/>
  </si>
  <si>
    <t>Y</t>
    <phoneticPr fontId="2" type="noConversion"/>
  </si>
  <si>
    <t>AUTO_INCREMENT</t>
  </si>
  <si>
    <t>DOUBLE</t>
    <phoneticPr fontId="28" type="noConversion"/>
  </si>
  <si>
    <t>MachineID</t>
    <phoneticPr fontId="2" type="noConversion"/>
  </si>
  <si>
    <t>isRunning</t>
    <phoneticPr fontId="2" type="noConversion"/>
  </si>
  <si>
    <t>EmployeeCode</t>
    <phoneticPr fontId="2" type="noConversion"/>
  </si>
  <si>
    <t>Name</t>
    <phoneticPr fontId="2" type="noConversion"/>
  </si>
  <si>
    <t>Phone</t>
    <phoneticPr fontId="2" type="noConversion"/>
  </si>
  <si>
    <t>Email</t>
    <phoneticPr fontId="2" type="noConversion"/>
  </si>
  <si>
    <t>Addr</t>
    <phoneticPr fontId="2" type="noConversion"/>
  </si>
  <si>
    <t>Authority</t>
    <phoneticPr fontId="2" type="noConversion"/>
  </si>
  <si>
    <t>ID</t>
    <phoneticPr fontId="2" type="noConversion"/>
  </si>
  <si>
    <t>Password</t>
    <phoneticPr fontId="2" type="noConversion"/>
  </si>
  <si>
    <t>ProductionID</t>
    <phoneticPr fontId="2" type="noConversion"/>
  </si>
  <si>
    <t>TodoCode</t>
    <phoneticPr fontId="2" type="noConversion"/>
  </si>
  <si>
    <t>Amount</t>
    <phoneticPr fontId="2" type="noConversion"/>
  </si>
  <si>
    <t>DefectRate</t>
    <phoneticPr fontId="2" type="noConversion"/>
  </si>
  <si>
    <t>ProductionDate</t>
    <phoneticPr fontId="2" type="noConversion"/>
  </si>
  <si>
    <t>N</t>
    <phoneticPr fontId="2" type="noConversion"/>
  </si>
  <si>
    <t>machine</t>
    <phoneticPr fontId="2" type="noConversion"/>
  </si>
  <si>
    <t>production</t>
    <phoneticPr fontId="2" type="noConversion"/>
  </si>
  <si>
    <t>todo</t>
    <phoneticPr fontId="2" type="noConversion"/>
  </si>
  <si>
    <t>EmployeeID</t>
    <phoneticPr fontId="2" type="noConversion"/>
  </si>
  <si>
    <t>제품이름</t>
    <phoneticPr fontId="28" type="noConversion"/>
  </si>
  <si>
    <t>ProductionName</t>
    <phoneticPr fontId="2" type="noConversion"/>
  </si>
  <si>
    <t>TODO</t>
    <phoneticPr fontId="2" type="noConversion"/>
  </si>
  <si>
    <t>ProductionCode</t>
    <phoneticPr fontId="2" type="noConversion"/>
  </si>
  <si>
    <t>하루예상생산량</t>
    <phoneticPr fontId="28" type="noConversion"/>
  </si>
  <si>
    <t>MachineID</t>
    <phoneticPr fontId="28" type="noConversion"/>
  </si>
  <si>
    <t>ProductionID</t>
    <phoneticPr fontId="28" type="noConversion"/>
  </si>
  <si>
    <t>CapacityPerDay</t>
    <phoneticPr fontId="2" type="noConversion"/>
  </si>
  <si>
    <t>Machine</t>
    <phoneticPr fontId="2" type="noConversion"/>
  </si>
  <si>
    <t>Production</t>
    <phoneticPr fontId="2" type="noConversion"/>
  </si>
  <si>
    <t>5분마다</t>
    <phoneticPr fontId="2" type="noConversion"/>
  </si>
  <si>
    <t>생산계획코드</t>
    <phoneticPr fontId="28" type="noConversion"/>
  </si>
  <si>
    <t>생산가능제품인지?</t>
  </si>
  <si>
    <t>ProductionPlan</t>
    <phoneticPr fontId="2" type="noConversion"/>
  </si>
  <si>
    <t>ProductionPlanCode</t>
    <phoneticPr fontId="2" type="noConversion"/>
  </si>
  <si>
    <t>Todo</t>
    <phoneticPr fontId="2" type="noConversion"/>
  </si>
  <si>
    <t>작업지시</t>
    <phoneticPr fontId="2" type="noConversion"/>
  </si>
  <si>
    <t>제품 생산 기록</t>
    <phoneticPr fontId="2" type="noConversion"/>
  </si>
  <si>
    <t>기계 생산가능 제품</t>
    <phoneticPr fontId="2" type="noConversion"/>
  </si>
  <si>
    <t>생산계획</t>
    <phoneticPr fontId="2" type="noConversion"/>
  </si>
  <si>
    <t>제품목록</t>
    <phoneticPr fontId="2" type="noConversion"/>
  </si>
  <si>
    <t>CONSTRAINT</t>
    <phoneticPr fontId="2" type="noConversion"/>
  </si>
  <si>
    <t>FK</t>
    <phoneticPr fontId="2" type="noConversion"/>
  </si>
  <si>
    <t>PK(pk가 하나인 테이블일 경우만 가능)</t>
    <phoneticPr fontId="2" type="noConversion"/>
  </si>
  <si>
    <t>DROP CONSTRAINT</t>
    <phoneticPr fontId="2" type="noConversion"/>
  </si>
  <si>
    <t>FK(부모테이블과 자식테이블의 칼럼명이 같아야함)</t>
    <phoneticPr fontId="2" type="noConversion"/>
  </si>
  <si>
    <t>PRODUCTION</t>
    <phoneticPr fontId="2" type="noConversion"/>
  </si>
  <si>
    <t>PRODUCTIONLIST</t>
    <phoneticPr fontId="2" type="noConversion"/>
  </si>
  <si>
    <t>employees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</si>
</sst>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0_)"/>
    <numFmt numFmtId="177" formatCode="_ * #,##0.00_)_K_s_h_ ;_ * \(#,##0.00\)_K_s_h_ ;_ * &quot;-&quot;??_)_K_s_h_ ;_ @_ "/>
    <numFmt numFmtId="178" formatCode="&quot;$&quot;#,###"/>
    <numFmt numFmtId="179" formatCode="_(&quot;$&quot;* #,##0.0_);_(&quot;$&quot;* \(#,##0.0\);_(&quot;$&quot;* &quot;-&quot;_);_(@_)"/>
    <numFmt numFmtId="180" formatCode="_ * #,##0_ ;_ * \-#,##0_ ;_ * &quot;-&quot;_ ;_ @_ "/>
    <numFmt numFmtId="181" formatCode="_ * #,##0.00_ ;_ * \-#,##0.00_ ;_ * &quot;-&quot;??_ ;_ @_ "/>
    <numFmt numFmtId="182" formatCode="0000000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굴림체"/>
      <family val="3"/>
      <charset val="129"/>
    </font>
    <font>
      <sz val="8"/>
      <name val="Arial"/>
      <family val="2"/>
    </font>
    <font>
      <sz val="10"/>
      <name val="Helv"/>
      <family val="2"/>
    </font>
    <font>
      <sz val="12"/>
      <name val="뼻뮝"/>
      <family val="1"/>
      <charset val="129"/>
    </font>
    <font>
      <sz val="12"/>
      <name val="Tms Rmn"/>
      <family val="1"/>
    </font>
    <font>
      <sz val="10"/>
      <color indexed="8"/>
      <name val="Arial"/>
      <family val="2"/>
    </font>
    <font>
      <sz val="10"/>
      <name val="Arial"/>
      <family val="2"/>
    </font>
    <font>
      <sz val="10"/>
      <name val="MS Serif"/>
      <family val="1"/>
    </font>
    <font>
      <sz val="10"/>
      <color indexed="16"/>
      <name val="MS Serif"/>
      <family val="1"/>
    </font>
    <font>
      <b/>
      <sz val="12"/>
      <name val="Arial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b/>
      <sz val="14"/>
      <color rgb="FF000000"/>
      <name val="맑은 고딕"/>
      <family val="3"/>
      <charset val="129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굴림체"/>
      <family val="3"/>
      <charset val="129"/>
    </font>
    <font>
      <sz val="10"/>
      <color theme="1"/>
      <name val="굴림체"/>
      <family val="3"/>
      <charset val="129"/>
    </font>
    <font>
      <sz val="10"/>
      <color rgb="FF000000"/>
      <name val="굴림체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나눔고딕"/>
      <family val="3"/>
      <charset val="129"/>
    </font>
    <font>
      <sz val="10"/>
      <color theme="1"/>
      <name val="나눔고딕"/>
      <family val="3"/>
      <charset val="129"/>
    </font>
    <font>
      <sz val="11"/>
      <color theme="1"/>
      <name val="나눔고딕"/>
      <family val="3"/>
      <charset val="129"/>
    </font>
    <font>
      <b/>
      <sz val="11"/>
      <color rgb="FF000000"/>
      <name val="나눔고딕"/>
      <family val="3"/>
      <charset val="129"/>
    </font>
    <font>
      <b/>
      <sz val="10"/>
      <color theme="1"/>
      <name val="나눔고딕"/>
      <family val="3"/>
      <charset val="129"/>
    </font>
    <font>
      <sz val="11"/>
      <name val="나눔고딕"/>
      <family val="3"/>
      <charset val="129"/>
    </font>
    <font>
      <sz val="11"/>
      <color rgb="FF000000"/>
      <name val="맑은 고딕"/>
      <family val="3"/>
      <charset val="129"/>
    </font>
    <font>
      <sz val="8"/>
      <color theme="1"/>
      <name val="나눔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9">
    <xf numFmtId="0" fontId="0" fillId="0" borderId="0">
      <alignment vertical="center"/>
    </xf>
    <xf numFmtId="0" fontId="3" fillId="0" borderId="0"/>
    <xf numFmtId="0" fontId="8" fillId="0" borderId="0" applyNumberFormat="0" applyFill="0" applyBorder="0" applyAlignment="0" applyProtection="0"/>
    <xf numFmtId="0" fontId="9" fillId="0" borderId="0" applyFill="0" applyBorder="0" applyAlignment="0"/>
    <xf numFmtId="180" fontId="10" fillId="0" borderId="0" applyFont="0" applyFill="0" applyBorder="0" applyAlignment="0" applyProtection="0"/>
    <xf numFmtId="181" fontId="10" fillId="0" borderId="0" applyFont="0" applyFill="0" applyBorder="0" applyAlignment="0" applyProtection="0"/>
    <xf numFmtId="0" fontId="11" fillId="0" borderId="0" applyNumberFormat="0" applyAlignment="0">
      <alignment horizontal="left"/>
    </xf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12" fillId="0" borderId="0" applyNumberFormat="0" applyAlignment="0">
      <alignment horizontal="left"/>
    </xf>
    <xf numFmtId="38" fontId="5" fillId="2" borderId="0" applyNumberFormat="0" applyBorder="0" applyAlignment="0" applyProtection="0"/>
    <xf numFmtId="0" fontId="13" fillId="0" borderId="1" applyNumberFormat="0" applyAlignment="0" applyProtection="0">
      <alignment horizontal="left" vertical="center"/>
    </xf>
    <xf numFmtId="0" fontId="13" fillId="0" borderId="2">
      <alignment horizontal="left" vertical="center"/>
    </xf>
    <xf numFmtId="10" fontId="5" fillId="3" borderId="3" applyNumberFormat="0" applyBorder="0" applyAlignment="0" applyProtection="0"/>
    <xf numFmtId="182" fontId="10" fillId="0" borderId="0"/>
    <xf numFmtId="0" fontId="10" fillId="0" borderId="0"/>
    <xf numFmtId="10" fontId="10" fillId="0" borderId="0" applyFont="0" applyFill="0" applyBorder="0" applyAlignment="0" applyProtection="0"/>
    <xf numFmtId="0" fontId="14" fillId="0" borderId="0" applyNumberFormat="0" applyFill="0" applyBorder="0" applyAlignment="0" applyProtection="0">
      <alignment horizontal="left"/>
    </xf>
    <xf numFmtId="40" fontId="15" fillId="0" borderId="0" applyBorder="0">
      <alignment horizontal="right"/>
    </xf>
    <xf numFmtId="0" fontId="7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6" fillId="0" borderId="0">
      <alignment vertical="center"/>
    </xf>
    <xf numFmtId="0" fontId="3" fillId="0" borderId="0"/>
    <xf numFmtId="0" fontId="3" fillId="0" borderId="0"/>
    <xf numFmtId="0" fontId="16" fillId="0" borderId="0">
      <alignment vertical="center"/>
    </xf>
    <xf numFmtId="0" fontId="3" fillId="0" borderId="0"/>
    <xf numFmtId="0" fontId="3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</cellStyleXfs>
  <cellXfs count="165">
    <xf numFmtId="0" fontId="0" fillId="0" borderId="0" xfId="0">
      <alignment vertical="center"/>
    </xf>
    <xf numFmtId="0" fontId="17" fillId="0" borderId="6" xfId="1" applyFont="1" applyBorder="1" applyAlignment="1">
      <alignment horizontal="center" vertical="center" wrapText="1" readingOrder="1"/>
    </xf>
    <xf numFmtId="0" fontId="20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17" fillId="0" borderId="12" xfId="1" applyFont="1" applyBorder="1" applyAlignment="1">
      <alignment horizontal="center" vertical="center" wrapText="1" readingOrder="1"/>
    </xf>
    <xf numFmtId="0" fontId="17" fillId="0" borderId="3" xfId="1" applyFont="1" applyBorder="1" applyAlignment="1">
      <alignment horizontal="center" vertical="center" wrapText="1" readingOrder="1"/>
    </xf>
    <xf numFmtId="0" fontId="20" fillId="0" borderId="3" xfId="0" applyFont="1" applyBorder="1" applyAlignment="1">
      <alignment horizontal="center" vertical="center"/>
    </xf>
    <xf numFmtId="0" fontId="20" fillId="0" borderId="0" xfId="0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17" fillId="0" borderId="19" xfId="1" applyFont="1" applyBorder="1" applyAlignment="1">
      <alignment horizontal="center" vertical="center" wrapText="1" readingOrder="1"/>
    </xf>
    <xf numFmtId="0" fontId="17" fillId="0" borderId="21" xfId="1" applyFont="1" applyBorder="1" applyAlignment="1">
      <alignment horizontal="center" vertical="center" wrapText="1" readingOrder="1"/>
    </xf>
    <xf numFmtId="0" fontId="17" fillId="0" borderId="3" xfId="1" quotePrefix="1" applyFont="1" applyBorder="1" applyAlignment="1">
      <alignment horizontal="center" vertical="center" wrapText="1" readingOrder="1"/>
    </xf>
    <xf numFmtId="14" fontId="17" fillId="0" borderId="3" xfId="1" applyNumberFormat="1" applyFont="1" applyBorder="1" applyAlignment="1">
      <alignment horizontal="center" vertical="center" wrapText="1" readingOrder="1"/>
    </xf>
    <xf numFmtId="0" fontId="17" fillId="0" borderId="16" xfId="1" applyFont="1" applyBorder="1" applyAlignment="1">
      <alignment horizontal="center" vertical="center" wrapText="1" readingOrder="1"/>
    </xf>
    <xf numFmtId="0" fontId="17" fillId="0" borderId="20" xfId="1" applyFont="1" applyBorder="1" applyAlignment="1">
      <alignment horizontal="center" vertical="center" wrapText="1" readingOrder="1"/>
    </xf>
    <xf numFmtId="0" fontId="17" fillId="0" borderId="7" xfId="1" applyFont="1" applyBorder="1" applyAlignment="1">
      <alignment horizontal="center" vertical="center" wrapText="1" readingOrder="1"/>
    </xf>
    <xf numFmtId="0" fontId="17" fillId="0" borderId="0" xfId="1" applyFont="1" applyBorder="1" applyAlignment="1">
      <alignment vertical="center" wrapText="1" readingOrder="1"/>
    </xf>
    <xf numFmtId="0" fontId="21" fillId="0" borderId="0" xfId="0" applyFont="1">
      <alignment vertical="center"/>
    </xf>
    <xf numFmtId="0" fontId="22" fillId="0" borderId="0" xfId="0" applyFont="1" applyBorder="1" applyAlignment="1">
      <alignment vertical="center"/>
    </xf>
    <xf numFmtId="0" fontId="23" fillId="0" borderId="0" xfId="1" applyFont="1" applyBorder="1" applyAlignment="1">
      <alignment vertical="center" wrapText="1" readingOrder="1"/>
    </xf>
    <xf numFmtId="0" fontId="22" fillId="0" borderId="0" xfId="0" applyFont="1" applyAlignment="1">
      <alignment vertical="center"/>
    </xf>
    <xf numFmtId="0" fontId="22" fillId="0" borderId="0" xfId="0" applyFont="1">
      <alignment vertical="center"/>
    </xf>
    <xf numFmtId="0" fontId="17" fillId="0" borderId="18" xfId="1" applyFont="1" applyBorder="1" applyAlignment="1">
      <alignment horizontal="center" vertical="center" wrapText="1" readingOrder="1"/>
    </xf>
    <xf numFmtId="0" fontId="19" fillId="0" borderId="0" xfId="1" applyFont="1" applyFill="1" applyBorder="1" applyAlignment="1">
      <alignment horizontal="left" vertical="center" wrapText="1"/>
    </xf>
    <xf numFmtId="0" fontId="19" fillId="0" borderId="0" xfId="1" applyFont="1" applyBorder="1" applyAlignment="1">
      <alignment horizontal="center" vertical="center" wrapText="1"/>
    </xf>
    <xf numFmtId="0" fontId="19" fillId="0" borderId="0" xfId="1" applyFont="1" applyBorder="1" applyAlignment="1">
      <alignment vertical="center" wrapText="1"/>
    </xf>
    <xf numFmtId="0" fontId="20" fillId="0" borderId="0" xfId="0" applyFont="1" applyFill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20" fillId="0" borderId="3" xfId="0" applyFont="1" applyFill="1" applyBorder="1" applyAlignment="1">
      <alignment horizontal="center" vertical="center"/>
    </xf>
    <xf numFmtId="0" fontId="24" fillId="5" borderId="3" xfId="0" applyFont="1" applyFill="1" applyBorder="1" applyAlignment="1">
      <alignment horizontal="center" vertical="center"/>
    </xf>
    <xf numFmtId="0" fontId="24" fillId="4" borderId="3" xfId="0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20" fillId="0" borderId="0" xfId="0" applyFont="1" applyBorder="1" applyAlignment="1">
      <alignment horizontal="center" vertical="center"/>
    </xf>
    <xf numFmtId="14" fontId="17" fillId="0" borderId="0" xfId="1" applyNumberFormat="1" applyFont="1" applyBorder="1" applyAlignment="1">
      <alignment horizontal="center" vertical="center" wrapText="1" readingOrder="1"/>
    </xf>
    <xf numFmtId="0" fontId="17" fillId="0" borderId="0" xfId="1" quotePrefix="1" applyFont="1" applyBorder="1" applyAlignment="1">
      <alignment horizontal="center" vertical="center" wrapText="1" readingOrder="1"/>
    </xf>
    <xf numFmtId="0" fontId="25" fillId="0" borderId="0" xfId="1" applyFont="1" applyBorder="1" applyAlignment="1">
      <alignment horizontal="center" vertical="center" wrapText="1" readingOrder="1"/>
    </xf>
    <xf numFmtId="0" fontId="24" fillId="5" borderId="0" xfId="0" applyFont="1" applyFill="1" applyBorder="1" applyAlignment="1">
      <alignment vertical="center"/>
    </xf>
    <xf numFmtId="0" fontId="24" fillId="4" borderId="0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9" fillId="0" borderId="0" xfId="1" applyFont="1" applyFill="1" applyBorder="1" applyAlignment="1">
      <alignment vertical="center" wrapText="1"/>
    </xf>
    <xf numFmtId="0" fontId="20" fillId="0" borderId="0" xfId="0" applyFont="1" applyFill="1" applyBorder="1" applyAlignment="1">
      <alignment horizontal="center" vertical="center"/>
    </xf>
    <xf numFmtId="0" fontId="19" fillId="0" borderId="0" xfId="1" applyFont="1" applyFill="1" applyBorder="1" applyAlignment="1">
      <alignment horizontal="center" vertical="center" wrapText="1"/>
    </xf>
    <xf numFmtId="49" fontId="19" fillId="0" borderId="0" xfId="1" applyNumberFormat="1" applyFont="1" applyFill="1" applyBorder="1" applyAlignment="1">
      <alignment vertical="center" wrapText="1"/>
    </xf>
    <xf numFmtId="0" fontId="20" fillId="0" borderId="1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6" fillId="0" borderId="0" xfId="1" applyFont="1" applyFill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4" fillId="4" borderId="3" xfId="0" applyFont="1" applyFill="1" applyBorder="1" applyAlignment="1">
      <alignment horizontal="center" vertical="center"/>
    </xf>
    <xf numFmtId="0" fontId="17" fillId="0" borderId="12" xfId="1" applyFont="1" applyBorder="1" applyAlignment="1">
      <alignment horizontal="center" vertical="center" wrapText="1" readingOrder="1"/>
    </xf>
    <xf numFmtId="0" fontId="19" fillId="0" borderId="0" xfId="1" applyFont="1" applyFill="1" applyBorder="1" applyAlignment="1">
      <alignment horizontal="left" vertical="center" wrapText="1"/>
    </xf>
    <xf numFmtId="0" fontId="19" fillId="0" borderId="0" xfId="1" applyFont="1" applyFill="1" applyBorder="1" applyAlignment="1">
      <alignment horizontal="left" vertical="center" wrapText="1"/>
    </xf>
    <xf numFmtId="0" fontId="17" fillId="0" borderId="12" xfId="1" applyFont="1" applyBorder="1" applyAlignment="1">
      <alignment horizontal="center" vertical="center" wrapText="1" readingOrder="1"/>
    </xf>
    <xf numFmtId="0" fontId="29" fillId="0" borderId="26" xfId="0" applyFont="1" applyBorder="1">
      <alignment vertical="center"/>
    </xf>
    <xf numFmtId="49" fontId="29" fillId="0" borderId="26" xfId="0" applyNumberFormat="1" applyFont="1" applyBorder="1">
      <alignment vertical="center"/>
    </xf>
    <xf numFmtId="0" fontId="31" fillId="0" borderId="26" xfId="0" applyFont="1" applyBorder="1">
      <alignment vertical="center"/>
    </xf>
    <xf numFmtId="0" fontId="29" fillId="0" borderId="26" xfId="1" applyFont="1" applyBorder="1" applyAlignment="1">
      <alignment vertical="center"/>
    </xf>
    <xf numFmtId="0" fontId="31" fillId="0" borderId="26" xfId="0" applyFont="1" applyBorder="1" applyAlignment="1">
      <alignment vertical="center"/>
    </xf>
    <xf numFmtId="0" fontId="30" fillId="0" borderId="3" xfId="0" applyFont="1" applyBorder="1" applyAlignment="1">
      <alignment vertical="center"/>
    </xf>
    <xf numFmtId="0" fontId="29" fillId="0" borderId="3" xfId="0" applyFont="1" applyBorder="1">
      <alignment vertical="center"/>
    </xf>
    <xf numFmtId="0" fontId="31" fillId="0" borderId="3" xfId="0" applyFont="1" applyBorder="1">
      <alignment vertical="center"/>
    </xf>
    <xf numFmtId="0" fontId="29" fillId="0" borderId="26" xfId="0" applyFont="1" applyBorder="1" applyAlignment="1">
      <alignment horizontal="center" vertical="center"/>
    </xf>
    <xf numFmtId="0" fontId="31" fillId="0" borderId="26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0" fillId="0" borderId="0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33" fillId="4" borderId="0" xfId="0" applyFont="1" applyFill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0" borderId="0" xfId="0" applyFont="1">
      <alignment vertical="center"/>
    </xf>
    <xf numFmtId="0" fontId="30" fillId="0" borderId="3" xfId="0" applyFont="1" applyBorder="1" applyAlignment="1">
      <alignment horizontal="center" vertical="center"/>
    </xf>
    <xf numFmtId="0" fontId="30" fillId="0" borderId="3" xfId="0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29" fillId="0" borderId="26" xfId="0" applyFont="1" applyBorder="1" applyAlignment="1">
      <alignment horizontal="left" vertical="center"/>
    </xf>
    <xf numFmtId="0" fontId="29" fillId="0" borderId="3" xfId="0" applyFont="1" applyBorder="1" applyAlignment="1">
      <alignment horizontal="left" vertical="center"/>
    </xf>
    <xf numFmtId="0" fontId="31" fillId="0" borderId="3" xfId="0" applyFont="1" applyBorder="1" applyAlignment="1">
      <alignment horizontal="left" vertical="center"/>
    </xf>
    <xf numFmtId="0" fontId="32" fillId="0" borderId="26" xfId="0" applyFont="1" applyBorder="1" applyAlignment="1">
      <alignment horizontal="right" vertical="center"/>
    </xf>
    <xf numFmtId="0" fontId="29" fillId="0" borderId="26" xfId="0" applyFont="1" applyBorder="1" applyAlignment="1">
      <alignment horizontal="right" vertical="center"/>
    </xf>
    <xf numFmtId="0" fontId="31" fillId="0" borderId="3" xfId="0" applyFont="1" applyBorder="1" applyAlignment="1">
      <alignment horizontal="right" vertical="center"/>
    </xf>
    <xf numFmtId="0" fontId="31" fillId="0" borderId="26" xfId="0" applyFont="1" applyBorder="1" applyAlignment="1">
      <alignment horizontal="right" vertical="center"/>
    </xf>
    <xf numFmtId="0" fontId="34" fillId="0" borderId="3" xfId="1" applyFont="1" applyFill="1" applyBorder="1" applyAlignment="1">
      <alignment horizontal="center" vertical="center" wrapText="1"/>
    </xf>
    <xf numFmtId="49" fontId="34" fillId="0" borderId="3" xfId="1" applyNumberFormat="1" applyFont="1" applyFill="1" applyBorder="1" applyAlignment="1">
      <alignment vertical="center" wrapText="1"/>
    </xf>
    <xf numFmtId="0" fontId="31" fillId="0" borderId="3" xfId="0" applyFont="1" applyFill="1" applyBorder="1" applyAlignment="1">
      <alignment vertical="center"/>
    </xf>
    <xf numFmtId="0" fontId="34" fillId="0" borderId="3" xfId="1" applyFont="1" applyBorder="1" applyAlignment="1">
      <alignment horizontal="center" vertical="center" wrapText="1"/>
    </xf>
    <xf numFmtId="0" fontId="31" fillId="0" borderId="3" xfId="0" applyFont="1" applyBorder="1" applyAlignment="1">
      <alignment vertical="center"/>
    </xf>
    <xf numFmtId="49" fontId="34" fillId="0" borderId="3" xfId="1" quotePrefix="1" applyNumberFormat="1" applyFont="1" applyFill="1" applyBorder="1" applyAlignment="1">
      <alignment vertical="center" wrapText="1"/>
    </xf>
    <xf numFmtId="0" fontId="34" fillId="0" borderId="3" xfId="1" applyFont="1" applyFill="1" applyBorder="1" applyAlignment="1">
      <alignment vertical="center" wrapText="1"/>
    </xf>
    <xf numFmtId="0" fontId="34" fillId="0" borderId="3" xfId="1" applyFont="1" applyFill="1" applyBorder="1" applyAlignment="1">
      <alignment horizontal="left" vertical="center" wrapText="1"/>
    </xf>
    <xf numFmtId="0" fontId="34" fillId="0" borderId="3" xfId="1" applyFont="1" applyFill="1" applyBorder="1" applyAlignment="1">
      <alignment horizontal="right" vertical="center" wrapText="1"/>
    </xf>
    <xf numFmtId="0" fontId="20" fillId="0" borderId="12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vertical="center"/>
    </xf>
    <xf numFmtId="0" fontId="31" fillId="0" borderId="3" xfId="0" applyFont="1" applyFill="1" applyBorder="1" applyAlignment="1">
      <alignment horizontal="center" vertical="center"/>
    </xf>
    <xf numFmtId="0" fontId="20" fillId="0" borderId="27" xfId="0" applyFont="1" applyFill="1" applyBorder="1" applyAlignment="1">
      <alignment horizontal="center" vertical="center"/>
    </xf>
    <xf numFmtId="0" fontId="34" fillId="0" borderId="3" xfId="1" applyFont="1" applyBorder="1" applyAlignment="1">
      <alignment vertical="center" wrapText="1"/>
    </xf>
    <xf numFmtId="0" fontId="27" fillId="0" borderId="3" xfId="0" applyFont="1" applyBorder="1" applyAlignment="1">
      <alignment horizontal="left" vertical="center"/>
    </xf>
    <xf numFmtId="0" fontId="20" fillId="0" borderId="1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34" fillId="0" borderId="3" xfId="1" applyFont="1" applyFill="1" applyBorder="1" applyAlignment="1">
      <alignment horizontal="left" vertical="center" wrapText="1"/>
    </xf>
    <xf numFmtId="0" fontId="24" fillId="4" borderId="3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/>
    </xf>
    <xf numFmtId="0" fontId="24" fillId="4" borderId="12" xfId="0" applyFont="1" applyFill="1" applyBorder="1" applyAlignment="1">
      <alignment horizontal="center" vertical="center"/>
    </xf>
    <xf numFmtId="0" fontId="24" fillId="4" borderId="2" xfId="0" applyFont="1" applyFill="1" applyBorder="1" applyAlignment="1">
      <alignment horizontal="center" vertical="center"/>
    </xf>
    <xf numFmtId="0" fontId="24" fillId="4" borderId="13" xfId="0" applyFont="1" applyFill="1" applyBorder="1" applyAlignment="1">
      <alignment horizontal="center" vertical="center"/>
    </xf>
    <xf numFmtId="0" fontId="34" fillId="0" borderId="3" xfId="1" applyFont="1" applyFill="1" applyBorder="1" applyAlignment="1">
      <alignment horizontal="center" vertical="center" wrapText="1"/>
    </xf>
    <xf numFmtId="0" fontId="17" fillId="0" borderId="3" xfId="1" applyFont="1" applyBorder="1" applyAlignment="1">
      <alignment horizontal="center" vertical="center" wrapText="1"/>
    </xf>
    <xf numFmtId="0" fontId="25" fillId="0" borderId="3" xfId="1" applyFont="1" applyBorder="1" applyAlignment="1">
      <alignment horizontal="center" vertical="center" wrapText="1" readingOrder="1"/>
    </xf>
    <xf numFmtId="0" fontId="17" fillId="0" borderId="5" xfId="1" applyFont="1" applyBorder="1" applyAlignment="1">
      <alignment horizontal="center" vertical="center" wrapText="1"/>
    </xf>
    <xf numFmtId="0" fontId="17" fillId="0" borderId="21" xfId="1" applyFont="1" applyBorder="1" applyAlignment="1">
      <alignment horizontal="center" vertical="center" wrapText="1"/>
    </xf>
    <xf numFmtId="0" fontId="17" fillId="0" borderId="4" xfId="1" applyFont="1" applyBorder="1" applyAlignment="1">
      <alignment horizontal="center" vertical="center" wrapText="1"/>
    </xf>
    <xf numFmtId="0" fontId="17" fillId="0" borderId="20" xfId="1" applyFont="1" applyBorder="1" applyAlignment="1">
      <alignment horizontal="center" vertical="center" wrapText="1"/>
    </xf>
    <xf numFmtId="0" fontId="17" fillId="0" borderId="14" xfId="1" applyFont="1" applyBorder="1" applyAlignment="1">
      <alignment horizontal="center" vertical="center" wrapText="1"/>
    </xf>
    <xf numFmtId="0" fontId="17" fillId="0" borderId="15" xfId="1" applyFont="1" applyBorder="1" applyAlignment="1">
      <alignment horizontal="center" vertical="center" wrapText="1"/>
    </xf>
    <xf numFmtId="0" fontId="24" fillId="5" borderId="27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5" fillId="0" borderId="12" xfId="1" applyFont="1" applyBorder="1" applyAlignment="1">
      <alignment horizontal="center" vertical="center" wrapText="1" readingOrder="1"/>
    </xf>
    <xf numFmtId="0" fontId="25" fillId="0" borderId="2" xfId="1" applyFont="1" applyBorder="1" applyAlignment="1">
      <alignment horizontal="center" vertical="center" wrapText="1" readingOrder="1"/>
    </xf>
    <xf numFmtId="0" fontId="25" fillId="0" borderId="13" xfId="1" applyFont="1" applyBorder="1" applyAlignment="1">
      <alignment horizontal="center" vertical="center" wrapText="1" readingOrder="1"/>
    </xf>
    <xf numFmtId="0" fontId="17" fillId="0" borderId="12" xfId="1" applyFont="1" applyBorder="1" applyAlignment="1">
      <alignment horizontal="center" vertical="center" wrapText="1"/>
    </xf>
    <xf numFmtId="0" fontId="17" fillId="0" borderId="13" xfId="1" applyFont="1" applyBorder="1" applyAlignment="1">
      <alignment horizontal="center" vertical="center" wrapText="1"/>
    </xf>
    <xf numFmtId="0" fontId="17" fillId="0" borderId="12" xfId="1" applyFont="1" applyBorder="1" applyAlignment="1">
      <alignment horizontal="center" vertical="center" wrapText="1" readingOrder="1"/>
    </xf>
    <xf numFmtId="0" fontId="17" fillId="0" borderId="13" xfId="1" applyFont="1" applyBorder="1" applyAlignment="1">
      <alignment horizontal="center" vertical="center" wrapText="1" readingOrder="1"/>
    </xf>
    <xf numFmtId="0" fontId="17" fillId="0" borderId="22" xfId="1" applyFont="1" applyBorder="1" applyAlignment="1">
      <alignment horizontal="center" vertical="center" wrapText="1"/>
    </xf>
    <xf numFmtId="0" fontId="17" fillId="0" borderId="23" xfId="1" applyFont="1" applyBorder="1" applyAlignment="1">
      <alignment horizontal="center" vertical="center" wrapText="1"/>
    </xf>
    <xf numFmtId="0" fontId="18" fillId="0" borderId="8" xfId="1" applyFont="1" applyBorder="1" applyAlignment="1">
      <alignment horizontal="center" vertical="center" wrapText="1" readingOrder="1"/>
    </xf>
    <xf numFmtId="0" fontId="18" fillId="0" borderId="9" xfId="1" applyFont="1" applyBorder="1" applyAlignment="1">
      <alignment horizontal="center" vertical="center" wrapText="1" readingOrder="1"/>
    </xf>
    <xf numFmtId="0" fontId="18" fillId="0" borderId="10" xfId="1" applyFont="1" applyBorder="1" applyAlignment="1">
      <alignment horizontal="center" vertical="center" wrapText="1" readingOrder="1"/>
    </xf>
    <xf numFmtId="0" fontId="18" fillId="0" borderId="11" xfId="1" applyFont="1" applyBorder="1" applyAlignment="1">
      <alignment horizontal="center" vertical="center" wrapText="1" readingOrder="1"/>
    </xf>
    <xf numFmtId="0" fontId="17" fillId="0" borderId="17" xfId="1" applyFont="1" applyBorder="1" applyAlignment="1">
      <alignment horizontal="center" vertical="center" wrapText="1" readingOrder="1"/>
    </xf>
    <xf numFmtId="0" fontId="19" fillId="0" borderId="0" xfId="1" applyFont="1" applyFill="1" applyBorder="1" applyAlignment="1">
      <alignment horizontal="left" vertical="center" wrapText="1"/>
    </xf>
    <xf numFmtId="0" fontId="29" fillId="0" borderId="3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0" fillId="0" borderId="3" xfId="0" applyFont="1" applyBorder="1" applyAlignment="1">
      <alignment horizontal="left" vertical="center"/>
    </xf>
    <xf numFmtId="0" fontId="30" fillId="0" borderId="12" xfId="0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33" fillId="4" borderId="12" xfId="0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0" fontId="33" fillId="4" borderId="13" xfId="0" applyFont="1" applyFill="1" applyBorder="1" applyAlignment="1">
      <alignment horizontal="center" vertical="center"/>
    </xf>
    <xf numFmtId="0" fontId="20" fillId="4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36" fillId="0" borderId="12" xfId="0" applyFont="1" applyBorder="1">
      <alignment vertical="center"/>
    </xf>
    <xf numFmtId="0" fontId="36" fillId="0" borderId="2" xfId="0" applyFont="1" applyBorder="1">
      <alignment vertical="center"/>
    </xf>
    <xf numFmtId="0" fontId="36" fillId="0" borderId="13" xfId="0" applyFont="1" applyBorder="1">
      <alignment vertical="center"/>
    </xf>
    <xf numFmtId="0" fontId="36" fillId="0" borderId="12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</cellXfs>
  <cellStyles count="79">
    <cellStyle name="Body" xfId="2" xr:uid="{00000000-0005-0000-0000-000000000000}"/>
    <cellStyle name="Calc Currency (0)" xfId="3" xr:uid="{00000000-0005-0000-0000-000001000000}"/>
    <cellStyle name="Comma [0]_ SG&amp;A Bridge " xfId="4" xr:uid="{00000000-0005-0000-0000-000002000000}"/>
    <cellStyle name="Comma_ SG&amp;A Bridge " xfId="5" xr:uid="{00000000-0005-0000-0000-000003000000}"/>
    <cellStyle name="Copied" xfId="6" xr:uid="{00000000-0005-0000-0000-000004000000}"/>
    <cellStyle name="Currency [0]_ SG&amp;A Bridge " xfId="7" xr:uid="{00000000-0005-0000-0000-000005000000}"/>
    <cellStyle name="Currency_ SG&amp;A Bridge " xfId="8" xr:uid="{00000000-0005-0000-0000-000006000000}"/>
    <cellStyle name="Entered" xfId="9" xr:uid="{00000000-0005-0000-0000-000007000000}"/>
    <cellStyle name="Grey" xfId="10" xr:uid="{00000000-0005-0000-0000-000008000000}"/>
    <cellStyle name="Header1" xfId="11" xr:uid="{00000000-0005-0000-0000-000009000000}"/>
    <cellStyle name="Header2" xfId="12" xr:uid="{00000000-0005-0000-0000-00000A000000}"/>
    <cellStyle name="Input [yellow]" xfId="13" xr:uid="{00000000-0005-0000-0000-00000B000000}"/>
    <cellStyle name="Normal - Style1" xfId="14" xr:uid="{00000000-0005-0000-0000-00000C000000}"/>
    <cellStyle name="Normal_ SG&amp;A Bridge " xfId="15" xr:uid="{00000000-0005-0000-0000-00000D000000}"/>
    <cellStyle name="Percent [2]" xfId="16" xr:uid="{00000000-0005-0000-0000-00000E000000}"/>
    <cellStyle name="RevList" xfId="17" xr:uid="{00000000-0005-0000-0000-00000F000000}"/>
    <cellStyle name="Subtotal" xfId="18" xr:uid="{00000000-0005-0000-0000-000010000000}"/>
    <cellStyle name="뷭?_BOOKSHIP" xfId="19" xr:uid="{00000000-0005-0000-0000-000011000000}"/>
    <cellStyle name="스타일 1" xfId="20" xr:uid="{00000000-0005-0000-0000-000012000000}"/>
    <cellStyle name="스타일 1 2" xfId="21" xr:uid="{00000000-0005-0000-0000-000013000000}"/>
    <cellStyle name="스타일 1 3" xfId="22" xr:uid="{00000000-0005-0000-0000-000014000000}"/>
    <cellStyle name="스타일 1 4" xfId="23" xr:uid="{00000000-0005-0000-0000-000015000000}"/>
    <cellStyle name="스타일 1 5" xfId="24" xr:uid="{00000000-0005-0000-0000-000016000000}"/>
    <cellStyle name="콤마 [0]_1202" xfId="25" xr:uid="{00000000-0005-0000-0000-000017000000}"/>
    <cellStyle name="콤마_1202" xfId="26" xr:uid="{00000000-0005-0000-0000-000018000000}"/>
    <cellStyle name="표준" xfId="0" builtinId="0"/>
    <cellStyle name="표준 13 2" xfId="27" xr:uid="{00000000-0005-0000-0000-00001A000000}"/>
    <cellStyle name="표준 13 3" xfId="28" xr:uid="{00000000-0005-0000-0000-00001B000000}"/>
    <cellStyle name="표준 13 4" xfId="29" xr:uid="{00000000-0005-0000-0000-00001C000000}"/>
    <cellStyle name="표준 13 5" xfId="30" xr:uid="{00000000-0005-0000-0000-00001D000000}"/>
    <cellStyle name="표준 13 6" xfId="31" xr:uid="{00000000-0005-0000-0000-00001E000000}"/>
    <cellStyle name="표준 13 7" xfId="32" xr:uid="{00000000-0005-0000-0000-00001F000000}"/>
    <cellStyle name="표준 13 8" xfId="33" xr:uid="{00000000-0005-0000-0000-000020000000}"/>
    <cellStyle name="표준 19 2" xfId="34" xr:uid="{00000000-0005-0000-0000-000021000000}"/>
    <cellStyle name="표준 19 3" xfId="35" xr:uid="{00000000-0005-0000-0000-000022000000}"/>
    <cellStyle name="표준 19 4" xfId="36" xr:uid="{00000000-0005-0000-0000-000023000000}"/>
    <cellStyle name="표준 19 5" xfId="37" xr:uid="{00000000-0005-0000-0000-000024000000}"/>
    <cellStyle name="표준 19 6" xfId="38" xr:uid="{00000000-0005-0000-0000-000025000000}"/>
    <cellStyle name="표준 19 7" xfId="39" xr:uid="{00000000-0005-0000-0000-000026000000}"/>
    <cellStyle name="표준 19 8" xfId="40" xr:uid="{00000000-0005-0000-0000-000027000000}"/>
    <cellStyle name="표준 2" xfId="1" xr:uid="{00000000-0005-0000-0000-000028000000}"/>
    <cellStyle name="표준 2 10" xfId="41" xr:uid="{00000000-0005-0000-0000-000029000000}"/>
    <cellStyle name="표준 2 11" xfId="42" xr:uid="{00000000-0005-0000-0000-00002A000000}"/>
    <cellStyle name="표준 2 12" xfId="43" xr:uid="{00000000-0005-0000-0000-00002B000000}"/>
    <cellStyle name="표준 2 13" xfId="44" xr:uid="{00000000-0005-0000-0000-00002C000000}"/>
    <cellStyle name="표준 2 14" xfId="45" xr:uid="{00000000-0005-0000-0000-00002D000000}"/>
    <cellStyle name="표준 2 15" xfId="46" xr:uid="{00000000-0005-0000-0000-00002E000000}"/>
    <cellStyle name="표준 2 16" xfId="47" xr:uid="{00000000-0005-0000-0000-00002F000000}"/>
    <cellStyle name="표준 2 17" xfId="48" xr:uid="{00000000-0005-0000-0000-000030000000}"/>
    <cellStyle name="표준 2 18" xfId="49" xr:uid="{00000000-0005-0000-0000-000031000000}"/>
    <cellStyle name="표준 2 19" xfId="50" xr:uid="{00000000-0005-0000-0000-000032000000}"/>
    <cellStyle name="표준 2 2" xfId="51" xr:uid="{00000000-0005-0000-0000-000033000000}"/>
    <cellStyle name="표준 2 20" xfId="52" xr:uid="{00000000-0005-0000-0000-000034000000}"/>
    <cellStyle name="표준 2 21" xfId="53" xr:uid="{00000000-0005-0000-0000-000035000000}"/>
    <cellStyle name="표준 2 22" xfId="54" xr:uid="{00000000-0005-0000-0000-000036000000}"/>
    <cellStyle name="표준 2 23" xfId="55" xr:uid="{00000000-0005-0000-0000-000037000000}"/>
    <cellStyle name="표준 2 3" xfId="56" xr:uid="{00000000-0005-0000-0000-000038000000}"/>
    <cellStyle name="표준 2 4" xfId="57" xr:uid="{00000000-0005-0000-0000-000039000000}"/>
    <cellStyle name="표준 2 5" xfId="58" xr:uid="{00000000-0005-0000-0000-00003A000000}"/>
    <cellStyle name="표준 2 6" xfId="59" xr:uid="{00000000-0005-0000-0000-00003B000000}"/>
    <cellStyle name="표준 2 7" xfId="60" xr:uid="{00000000-0005-0000-0000-00003C000000}"/>
    <cellStyle name="표준 2 8" xfId="61" xr:uid="{00000000-0005-0000-0000-00003D000000}"/>
    <cellStyle name="표준 2 9" xfId="62" xr:uid="{00000000-0005-0000-0000-00003E000000}"/>
    <cellStyle name="표준 23" xfId="63" xr:uid="{00000000-0005-0000-0000-00003F000000}"/>
    <cellStyle name="표준 3" xfId="78" xr:uid="{00000000-0005-0000-0000-000040000000}"/>
    <cellStyle name="표준 3 2" xfId="64" xr:uid="{00000000-0005-0000-0000-000041000000}"/>
    <cellStyle name="표준 3 3" xfId="65" xr:uid="{00000000-0005-0000-0000-000042000000}"/>
    <cellStyle name="표준 4" xfId="66" xr:uid="{00000000-0005-0000-0000-000043000000}"/>
    <cellStyle name="표준 4 2" xfId="67" xr:uid="{00000000-0005-0000-0000-000044000000}"/>
    <cellStyle name="표준 4 3" xfId="68" xr:uid="{00000000-0005-0000-0000-000045000000}"/>
    <cellStyle name="표준 5" xfId="69" xr:uid="{00000000-0005-0000-0000-000046000000}"/>
    <cellStyle name="표준 6" xfId="70" xr:uid="{00000000-0005-0000-0000-000047000000}"/>
    <cellStyle name="표준 7 2" xfId="71" xr:uid="{00000000-0005-0000-0000-000048000000}"/>
    <cellStyle name="표준 7 3" xfId="72" xr:uid="{00000000-0005-0000-0000-000049000000}"/>
    <cellStyle name="표준 7 4" xfId="73" xr:uid="{00000000-0005-0000-0000-00004A000000}"/>
    <cellStyle name="표준 7 5" xfId="74" xr:uid="{00000000-0005-0000-0000-00004B000000}"/>
    <cellStyle name="표준 7 6" xfId="75" xr:uid="{00000000-0005-0000-0000-00004C000000}"/>
    <cellStyle name="표준 7 7" xfId="76" xr:uid="{00000000-0005-0000-0000-00004D000000}"/>
    <cellStyle name="표준 7 8" xfId="77" xr:uid="{00000000-0005-0000-0000-00004E000000}"/>
  </cellStyles>
  <dxfs count="2">
    <dxf>
      <font>
        <color auto="1"/>
      </font>
      <fill>
        <patternFill>
          <bgColor theme="0" tint="-0.14996795556505021"/>
        </patternFill>
      </fill>
    </dxf>
    <dxf>
      <font>
        <b val="0"/>
        <i val="0"/>
        <u val="none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</dxfs>
  <tableStyles count="1" defaultTableStyle="TableStyleMedium2" defaultPivotStyle="PivotStyleLight16">
    <tableStyle name="표 스타일 1" pivot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0</xdr:row>
          <xdr:rowOff>19050</xdr:rowOff>
        </xdr:from>
        <xdr:to>
          <xdr:col>14</xdr:col>
          <xdr:colOff>504825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19050</xdr:rowOff>
        </xdr:from>
        <xdr:to>
          <xdr:col>14</xdr:col>
          <xdr:colOff>361950</xdr:colOff>
          <xdr:row>1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19050</xdr:rowOff>
        </xdr:from>
        <xdr:to>
          <xdr:col>14</xdr:col>
          <xdr:colOff>19050</xdr:colOff>
          <xdr:row>1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19050</xdr:rowOff>
        </xdr:from>
        <xdr:to>
          <xdr:col>14</xdr:col>
          <xdr:colOff>19050</xdr:colOff>
          <xdr:row>1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0</xdr:row>
          <xdr:rowOff>19050</xdr:rowOff>
        </xdr:from>
        <xdr:to>
          <xdr:col>14</xdr:col>
          <xdr:colOff>400050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0</xdr:row>
          <xdr:rowOff>19050</xdr:rowOff>
        </xdr:from>
        <xdr:to>
          <xdr:col>14</xdr:col>
          <xdr:colOff>400050</xdr:colOff>
          <xdr:row>1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0</xdr:row>
          <xdr:rowOff>19050</xdr:rowOff>
        </xdr:from>
        <xdr:to>
          <xdr:col>14</xdr:col>
          <xdr:colOff>400050</xdr:colOff>
          <xdr:row>1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82"/>
  <sheetViews>
    <sheetView zoomScaleNormal="100" workbookViewId="0">
      <selection activeCell="B52" sqref="B52:F52"/>
    </sheetView>
  </sheetViews>
  <sheetFormatPr defaultRowHeight="16.5"/>
  <cols>
    <col min="1" max="1" width="6.875" customWidth="1"/>
    <col min="2" max="2" width="29.375" bestFit="1" customWidth="1"/>
    <col min="3" max="3" width="28.625" customWidth="1"/>
    <col min="4" max="4" width="6.875" customWidth="1"/>
    <col min="5" max="5" width="12.625" customWidth="1"/>
    <col min="6" max="6" width="7.125" customWidth="1"/>
    <col min="7" max="7" width="3.625" bestFit="1" customWidth="1"/>
    <col min="8" max="8" width="8" bestFit="1" customWidth="1"/>
    <col min="9" max="9" width="14.125" customWidth="1"/>
    <col min="10" max="10" width="11.875" customWidth="1"/>
    <col min="11" max="11" width="10.375" customWidth="1"/>
    <col min="12" max="12" width="9.75" bestFit="1" customWidth="1"/>
    <col min="13" max="13" width="4.25" customWidth="1"/>
    <col min="14" max="14" width="9" style="18"/>
    <col min="15" max="15" width="10.5" customWidth="1"/>
    <col min="17" max="17" width="42.25" customWidth="1"/>
  </cols>
  <sheetData>
    <row r="1" spans="1:30" ht="16.5" customHeight="1">
      <c r="A1" s="124" t="s">
        <v>1</v>
      </c>
      <c r="B1" s="125"/>
      <c r="C1" s="122" t="s">
        <v>38</v>
      </c>
      <c r="D1" s="122"/>
      <c r="E1" s="122" t="s">
        <v>19</v>
      </c>
      <c r="F1" s="141" t="s">
        <v>2</v>
      </c>
      <c r="G1" s="141"/>
      <c r="H1" s="142"/>
      <c r="I1" s="16" t="s">
        <v>3</v>
      </c>
      <c r="J1" s="6" t="s">
        <v>39</v>
      </c>
      <c r="K1" s="11" t="s">
        <v>4</v>
      </c>
      <c r="L1" s="13">
        <v>43755</v>
      </c>
      <c r="M1" s="34"/>
    </row>
    <row r="2" spans="1:30" ht="16.5" customHeight="1">
      <c r="A2" s="126" t="s">
        <v>5</v>
      </c>
      <c r="B2" s="127"/>
      <c r="C2" s="122"/>
      <c r="D2" s="122"/>
      <c r="E2" s="122"/>
      <c r="F2" s="143"/>
      <c r="G2" s="143"/>
      <c r="H2" s="144"/>
      <c r="I2" s="1" t="s">
        <v>6</v>
      </c>
      <c r="J2" s="6"/>
      <c r="K2" s="15" t="s">
        <v>7</v>
      </c>
      <c r="L2" s="13"/>
      <c r="M2" s="34"/>
    </row>
    <row r="3" spans="1:30">
      <c r="A3" s="128" t="s">
        <v>0</v>
      </c>
      <c r="B3" s="129"/>
      <c r="C3" s="139"/>
      <c r="D3" s="140"/>
      <c r="E3" s="23" t="s">
        <v>8</v>
      </c>
      <c r="F3" s="145" t="s">
        <v>29</v>
      </c>
      <c r="G3" s="145"/>
      <c r="H3" s="145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MACHINE ;</v>
      </c>
    </row>
    <row r="4" spans="1:30" ht="16.5" customHeight="1">
      <c r="A4" s="122" t="s">
        <v>12</v>
      </c>
      <c r="B4" s="122"/>
      <c r="C4" s="122"/>
      <c r="D4" s="122"/>
      <c r="E4" s="6" t="s">
        <v>13</v>
      </c>
      <c r="F4" s="123" t="s">
        <v>46</v>
      </c>
      <c r="G4" s="123"/>
      <c r="H4" s="123"/>
      <c r="I4" s="5" t="s">
        <v>14</v>
      </c>
      <c r="J4" s="132" t="s">
        <v>47</v>
      </c>
      <c r="K4" s="133"/>
      <c r="L4" s="134"/>
      <c r="M4" s="36"/>
      <c r="N4" s="20"/>
      <c r="O4" s="17"/>
    </row>
    <row r="5" spans="1:30" ht="16.5" customHeight="1">
      <c r="A5" s="135" t="s">
        <v>31</v>
      </c>
      <c r="B5" s="136"/>
      <c r="C5" s="135"/>
      <c r="D5" s="136"/>
      <c r="E5" s="137" t="s">
        <v>33</v>
      </c>
      <c r="F5" s="138"/>
      <c r="G5" s="132" t="s">
        <v>34</v>
      </c>
      <c r="H5" s="134"/>
      <c r="I5" s="5" t="s">
        <v>32</v>
      </c>
      <c r="J5" s="132"/>
      <c r="K5" s="133"/>
      <c r="L5" s="134"/>
      <c r="M5" s="36"/>
      <c r="N5" s="20"/>
      <c r="O5" s="17"/>
    </row>
    <row r="6" spans="1:30" s="3" customFormat="1" ht="13.5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0" t="s">
        <v>37</v>
      </c>
      <c r="K6" s="131"/>
      <c r="L6" s="107" t="s">
        <v>26</v>
      </c>
      <c r="M6" s="37"/>
      <c r="N6" s="19" t="str">
        <f>CONCATENATE("CREATE TABLE ",$F$4," (")</f>
        <v>CREATE TABLE MACHINE (</v>
      </c>
      <c r="O6" s="8"/>
      <c r="Q6" s="32"/>
      <c r="R6" s="32"/>
      <c r="S6" s="32"/>
      <c r="T6" s="32"/>
      <c r="U6" s="32" t="str">
        <f>CONCATENATE( "COMMENT ON TABLE ",$F$4," IS '", $J$4,"' ;")</f>
        <v>COMMENT ON TABLE MACHINE IS '기계' ;</v>
      </c>
      <c r="V6" s="32"/>
      <c r="W6" s="32"/>
      <c r="X6" s="32"/>
      <c r="Y6" s="32"/>
      <c r="Z6" s="32"/>
      <c r="AA6" s="32"/>
      <c r="AB6" s="32"/>
      <c r="AC6" s="32"/>
      <c r="AD6" s="32"/>
    </row>
    <row r="7" spans="1:30" s="27" customFormat="1" ht="13.5" customHeight="1">
      <c r="A7" s="104">
        <v>1</v>
      </c>
      <c r="B7" s="101" t="s">
        <v>75</v>
      </c>
      <c r="C7" s="59" t="s">
        <v>40</v>
      </c>
      <c r="D7" s="59" t="s">
        <v>43</v>
      </c>
      <c r="E7" s="59" t="s">
        <v>45</v>
      </c>
      <c r="F7" s="61">
        <v>5</v>
      </c>
      <c r="G7" s="95" t="s">
        <v>25</v>
      </c>
      <c r="H7" s="95"/>
      <c r="I7" s="96"/>
      <c r="J7" s="115"/>
      <c r="K7" s="115"/>
      <c r="L7" s="97"/>
      <c r="M7" s="28"/>
      <c r="N7" s="19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MachineID                      CHAR (5)   NOT NULL  ,</v>
      </c>
      <c r="O7" s="28"/>
      <c r="U7" s="32" t="str">
        <f t="shared" ref="U7:U35" si="0">CONCATENATE( "COMMENT ON COLUMN ",$F$4,".",B7," IS '", C7, IF(LEN(J7) = 0, "",CONCATENATE("  ( ",J7, " )")),"' ;")</f>
        <v>COMMENT ON COLUMN MACHINE.MachineID IS '기계ID' ;</v>
      </c>
    </row>
    <row r="8" spans="1:30" s="3" customFormat="1" ht="14.25">
      <c r="A8" s="104">
        <v>2</v>
      </c>
      <c r="B8" s="101" t="s">
        <v>76</v>
      </c>
      <c r="C8" s="59" t="s">
        <v>41</v>
      </c>
      <c r="D8" s="59"/>
      <c r="E8" s="59" t="s">
        <v>44</v>
      </c>
      <c r="F8" s="59">
        <v>1</v>
      </c>
      <c r="G8" s="95"/>
      <c r="H8" s="98"/>
      <c r="I8" s="59" t="s">
        <v>42</v>
      </c>
      <c r="J8" s="115"/>
      <c r="K8" s="115"/>
      <c r="L8" s="99"/>
      <c r="M8" s="8"/>
      <c r="N8" s="19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 xml:space="preserve">isRunning                      BIT (1)   DEFAULT b'0'  </v>
      </c>
      <c r="O8" s="8"/>
      <c r="U8" s="32" t="str">
        <f>CONCATENATE( "COMMENT ON COLUMN ",$F$4,".",B8," IS '", C8, IF(LEN(J8) = 0, "",CONCATENATE("  ( ",J8, " )")),"' ;")</f>
        <v>COMMENT ON COLUMN MACHINE.isRunning IS '가용여부' ;</v>
      </c>
    </row>
    <row r="9" spans="1:30" s="27" customFormat="1" ht="14.25">
      <c r="A9" s="104">
        <v>3</v>
      </c>
      <c r="B9" s="101"/>
      <c r="C9" s="101"/>
      <c r="D9" s="95"/>
      <c r="E9" s="95"/>
      <c r="F9" s="95"/>
      <c r="G9" s="95"/>
      <c r="H9" s="95"/>
      <c r="I9" s="96"/>
      <c r="J9" s="115"/>
      <c r="K9" s="115"/>
      <c r="L9" s="97"/>
      <c r="M9" s="28"/>
      <c r="N9" s="19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) Tablespace TS_HEMR_DATA ;</v>
      </c>
      <c r="O9" s="28"/>
      <c r="U9" s="32" t="str">
        <f t="shared" si="0"/>
        <v>COMMENT ON COLUMN MACHINE. IS '' ;</v>
      </c>
    </row>
    <row r="10" spans="1:30" s="27" customFormat="1" ht="14.25">
      <c r="A10" s="104">
        <v>4</v>
      </c>
      <c r="B10" s="101"/>
      <c r="C10" s="101"/>
      <c r="D10" s="95"/>
      <c r="E10" s="95"/>
      <c r="F10" s="95"/>
      <c r="G10" s="95"/>
      <c r="H10" s="95"/>
      <c r="I10" s="96"/>
      <c r="J10" s="115"/>
      <c r="K10" s="115"/>
      <c r="L10" s="97"/>
      <c r="M10" s="28"/>
      <c r="N10" s="19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) Tablespace TS_HEMR_DATA ;</v>
      </c>
      <c r="O10" s="28"/>
      <c r="U10" s="32" t="str">
        <f t="shared" si="0"/>
        <v>COMMENT ON COLUMN MACHINE. IS '' ;</v>
      </c>
    </row>
    <row r="11" spans="1:30" s="27" customFormat="1" ht="14.25">
      <c r="A11" s="104">
        <v>5</v>
      </c>
      <c r="B11" s="101"/>
      <c r="C11" s="101"/>
      <c r="D11" s="95"/>
      <c r="E11" s="95"/>
      <c r="F11" s="95"/>
      <c r="G11" s="95"/>
      <c r="H11" s="95"/>
      <c r="I11" s="96"/>
      <c r="J11" s="115"/>
      <c r="K11" s="115"/>
      <c r="L11" s="97"/>
      <c r="M11" s="28"/>
      <c r="N11" s="19" t="str">
        <f t="shared" si="1"/>
        <v>) Tablespace TS_HEMR_DATA ;</v>
      </c>
      <c r="O11" s="28"/>
      <c r="U11" s="32" t="str">
        <f t="shared" si="0"/>
        <v>COMMENT ON COLUMN MACHINE. IS '' ;</v>
      </c>
    </row>
    <row r="12" spans="1:30" s="27" customFormat="1" ht="14.25">
      <c r="A12" s="104">
        <v>6</v>
      </c>
      <c r="B12" s="101"/>
      <c r="C12" s="101"/>
      <c r="D12" s="95"/>
      <c r="E12" s="95"/>
      <c r="F12" s="95"/>
      <c r="G12" s="95"/>
      <c r="H12" s="95"/>
      <c r="I12" s="96"/>
      <c r="J12" s="115"/>
      <c r="K12" s="115"/>
      <c r="L12" s="97"/>
      <c r="M12" s="28"/>
      <c r="N12" s="19" t="str">
        <f>IF(B12&lt;&gt;"",CONCATENATE(B12, REPT(" ", 31 - LEN(B12)),E12," ", IF(LEN(F12)&gt;0, CONCATENATE("(",F12,")"), " "), "  ", IF(I12&lt;&gt;"", CONCATENATE(" DEFAULT ", I12,""), ""  ), IF(D12="N", " NOT NULL ", " "),   IF(B14&lt;&gt;""," ,"," ")), ") Tablespace TS_HEMR_DATA ;" )</f>
        <v>) Tablespace TS_HEMR_DATA ;</v>
      </c>
      <c r="O12" s="28"/>
      <c r="U12" s="32" t="str">
        <f t="shared" si="0"/>
        <v>COMMENT ON COLUMN MACHINE. IS '' ;</v>
      </c>
    </row>
    <row r="13" spans="1:30" s="27" customFormat="1" ht="14.25">
      <c r="A13" s="104">
        <v>7</v>
      </c>
      <c r="B13" s="101"/>
      <c r="C13" s="101"/>
      <c r="D13" s="95"/>
      <c r="E13" s="95"/>
      <c r="F13" s="95"/>
      <c r="G13" s="95"/>
      <c r="H13" s="95"/>
      <c r="I13" s="96"/>
      <c r="J13" s="121"/>
      <c r="K13" s="121"/>
      <c r="L13" s="97"/>
      <c r="M13" s="28"/>
      <c r="N13" s="19" t="str">
        <f>IF(B13&lt;&gt;"",CONCATENATE(B13, REPT(" ", 31 - LEN(B13)),E13," ", IF(LEN(F13)&gt;0, CONCATENATE("(",F13,")"), " "), "  ", IF(I13&lt;&gt;"", CONCATENATE(" DEFAULT ", I13,""), ""  ), IF(D13="N", " NOT NULL ", " "),   IF(B15&lt;&gt;""," ,"," ")), ") Tablespace TS_HEMR_DATA ;" )</f>
        <v>) Tablespace TS_HEMR_DATA ;</v>
      </c>
      <c r="O13" s="28"/>
      <c r="U13" s="32" t="str">
        <f t="shared" si="0"/>
        <v>COMMENT ON COLUMN MACHINE. IS '' ;</v>
      </c>
    </row>
    <row r="14" spans="1:30" s="27" customFormat="1" ht="14.25">
      <c r="A14" s="104">
        <v>8</v>
      </c>
      <c r="B14" s="101"/>
      <c r="C14" s="101"/>
      <c r="D14" s="95"/>
      <c r="E14" s="95"/>
      <c r="F14" s="95"/>
      <c r="G14" s="95"/>
      <c r="H14" s="95"/>
      <c r="I14" s="96"/>
      <c r="J14" s="115"/>
      <c r="K14" s="115"/>
      <c r="L14" s="97"/>
      <c r="M14" s="28"/>
      <c r="N14" s="19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28"/>
      <c r="U14" s="32" t="str">
        <f t="shared" si="0"/>
        <v>COMMENT ON COLUMN MACHINE. IS '' ;</v>
      </c>
    </row>
    <row r="15" spans="1:30" s="27" customFormat="1" ht="14.25">
      <c r="A15" s="104">
        <v>9</v>
      </c>
      <c r="B15" s="101"/>
      <c r="C15" s="110"/>
      <c r="D15" s="108"/>
      <c r="E15" s="95"/>
      <c r="F15" s="95"/>
      <c r="G15" s="95"/>
      <c r="H15" s="95"/>
      <c r="I15" s="100"/>
      <c r="J15" s="115"/>
      <c r="K15" s="115"/>
      <c r="L15" s="97"/>
      <c r="M15" s="28"/>
      <c r="N15" s="19" t="str">
        <f t="shared" si="1"/>
        <v>) Tablespace TS_HEMR_DATA ;</v>
      </c>
      <c r="O15" s="28"/>
      <c r="U15" s="32" t="str">
        <f t="shared" si="0"/>
        <v>COMMENT ON COLUMN MACHINE. IS '' ;</v>
      </c>
    </row>
    <row r="16" spans="1:30" s="27" customFormat="1" ht="14.25">
      <c r="A16" s="104">
        <v>10</v>
      </c>
      <c r="B16" s="101"/>
      <c r="C16" s="101"/>
      <c r="D16" s="95"/>
      <c r="E16" s="95"/>
      <c r="F16" s="95"/>
      <c r="G16" s="95"/>
      <c r="H16" s="95"/>
      <c r="I16" s="96"/>
      <c r="J16" s="115"/>
      <c r="K16" s="115"/>
      <c r="L16" s="97"/>
      <c r="M16" s="28"/>
      <c r="N16" s="19" t="str">
        <f t="shared" si="1"/>
        <v>) Tablespace TS_HEMR_DATA ;</v>
      </c>
      <c r="O16" s="28"/>
      <c r="U16" s="32" t="str">
        <f t="shared" si="0"/>
        <v>COMMENT ON COLUMN MACHINE. IS '' ;</v>
      </c>
    </row>
    <row r="17" spans="1:21" s="3" customFormat="1" ht="14.25">
      <c r="A17" s="104">
        <v>11</v>
      </c>
      <c r="B17" s="101"/>
      <c r="C17" s="101"/>
      <c r="D17" s="95"/>
      <c r="E17" s="95"/>
      <c r="F17" s="95"/>
      <c r="G17" s="95"/>
      <c r="H17" s="95"/>
      <c r="I17" s="96"/>
      <c r="J17" s="115"/>
      <c r="K17" s="115"/>
      <c r="L17" s="97"/>
      <c r="M17" s="8"/>
      <c r="N17" s="19" t="str">
        <f t="shared" si="1"/>
        <v>) Tablespace TS_HEMR_DATA ;</v>
      </c>
      <c r="O17" s="8"/>
      <c r="U17" s="32" t="str">
        <f t="shared" si="0"/>
        <v>COMMENT ON COLUMN MACHINE. IS '' ;</v>
      </c>
    </row>
    <row r="18" spans="1:21" s="3" customFormat="1" ht="14.25">
      <c r="A18" s="104">
        <v>12</v>
      </c>
      <c r="B18" s="101"/>
      <c r="C18" s="101"/>
      <c r="D18" s="95"/>
      <c r="E18" s="95"/>
      <c r="F18" s="95"/>
      <c r="G18" s="95"/>
      <c r="H18" s="95"/>
      <c r="I18" s="96"/>
      <c r="J18" s="115"/>
      <c r="K18" s="115"/>
      <c r="L18" s="97"/>
      <c r="M18" s="8"/>
      <c r="N18" s="19" t="str">
        <f t="shared" si="1"/>
        <v>) Tablespace TS_HEMR_DATA ;</v>
      </c>
      <c r="O18" s="8"/>
      <c r="U18" s="32" t="str">
        <f t="shared" si="0"/>
        <v>COMMENT ON COLUMN MACHINE. IS '' ;</v>
      </c>
    </row>
    <row r="19" spans="1:21" s="3" customFormat="1" ht="14.25">
      <c r="A19" s="104">
        <v>13</v>
      </c>
      <c r="B19" s="101"/>
      <c r="C19" s="101"/>
      <c r="D19" s="95"/>
      <c r="E19" s="95"/>
      <c r="F19" s="95"/>
      <c r="G19" s="95"/>
      <c r="H19" s="95"/>
      <c r="I19" s="96"/>
      <c r="J19" s="121"/>
      <c r="K19" s="121"/>
      <c r="L19" s="97"/>
      <c r="M19" s="8"/>
      <c r="N19" s="19" t="str">
        <f t="shared" si="1"/>
        <v>) Tablespace TS_HEMR_DATA ;</v>
      </c>
      <c r="O19" s="8"/>
      <c r="U19" s="32" t="str">
        <f t="shared" si="0"/>
        <v>COMMENT ON COLUMN MACHINE. IS '' ;</v>
      </c>
    </row>
    <row r="20" spans="1:21" s="3" customFormat="1" ht="14.25">
      <c r="A20" s="104">
        <v>14</v>
      </c>
      <c r="B20" s="101"/>
      <c r="C20" s="101"/>
      <c r="D20" s="95"/>
      <c r="E20" s="95"/>
      <c r="F20" s="95"/>
      <c r="G20" s="95"/>
      <c r="H20" s="95"/>
      <c r="I20" s="96"/>
      <c r="J20" s="115"/>
      <c r="K20" s="115"/>
      <c r="L20" s="97"/>
      <c r="M20" s="8"/>
      <c r="N20" s="19" t="str">
        <f t="shared" si="1"/>
        <v>) Tablespace TS_HEMR_DATA ;</v>
      </c>
      <c r="O20" s="8"/>
      <c r="U20" s="32" t="str">
        <f t="shared" si="0"/>
        <v>COMMENT ON COLUMN MACHINE. IS '' ;</v>
      </c>
    </row>
    <row r="21" spans="1:21" s="3" customFormat="1" ht="14.25">
      <c r="A21" s="104">
        <v>15</v>
      </c>
      <c r="B21" s="101"/>
      <c r="C21" s="101"/>
      <c r="D21" s="95"/>
      <c r="E21" s="95"/>
      <c r="F21" s="95"/>
      <c r="G21" s="95"/>
      <c r="H21" s="95"/>
      <c r="I21" s="96"/>
      <c r="J21" s="115"/>
      <c r="K21" s="115"/>
      <c r="L21" s="97"/>
      <c r="M21" s="8"/>
      <c r="N21" s="19" t="str">
        <f t="shared" si="1"/>
        <v>) Tablespace TS_HEMR_DATA ;</v>
      </c>
      <c r="O21" s="8"/>
      <c r="U21" s="32" t="str">
        <f t="shared" si="0"/>
        <v>COMMENT ON COLUMN MACHINE. IS '' ;</v>
      </c>
    </row>
    <row r="22" spans="1:21" s="3" customFormat="1" ht="14.25">
      <c r="A22" s="104">
        <v>16</v>
      </c>
      <c r="B22" s="101"/>
      <c r="C22" s="101"/>
      <c r="D22" s="95"/>
      <c r="E22" s="95"/>
      <c r="F22" s="95"/>
      <c r="G22" s="95"/>
      <c r="H22" s="95"/>
      <c r="I22" s="96"/>
      <c r="J22" s="115"/>
      <c r="K22" s="115"/>
      <c r="L22" s="97"/>
      <c r="M22" s="8"/>
      <c r="N22" s="19" t="str">
        <f t="shared" si="1"/>
        <v>) Tablespace TS_HEMR_DATA ;</v>
      </c>
      <c r="O22" s="8"/>
      <c r="U22" s="32" t="str">
        <f t="shared" si="0"/>
        <v>COMMENT ON COLUMN MACHINE. IS '' ;</v>
      </c>
    </row>
    <row r="23" spans="1:21" s="3" customFormat="1" ht="13.5" customHeight="1">
      <c r="A23" s="104">
        <v>17</v>
      </c>
      <c r="B23" s="101"/>
      <c r="C23" s="101"/>
      <c r="D23" s="95"/>
      <c r="E23" s="95"/>
      <c r="F23" s="95"/>
      <c r="G23" s="95"/>
      <c r="H23" s="95"/>
      <c r="I23" s="96"/>
      <c r="J23" s="115"/>
      <c r="K23" s="115"/>
      <c r="L23" s="97"/>
      <c r="M23" s="8"/>
      <c r="N23" s="19" t="str">
        <f t="shared" si="1"/>
        <v>) Tablespace TS_HEMR_DATA ;</v>
      </c>
      <c r="O23" s="8"/>
      <c r="U23" s="32" t="str">
        <f t="shared" si="0"/>
        <v>COMMENT ON COLUMN MACHINE. IS '' ;</v>
      </c>
    </row>
    <row r="24" spans="1:21" s="3" customFormat="1" ht="14.25">
      <c r="A24" s="104">
        <v>18</v>
      </c>
      <c r="B24" s="101"/>
      <c r="C24" s="101"/>
      <c r="D24" s="95"/>
      <c r="E24" s="95"/>
      <c r="F24" s="95"/>
      <c r="G24" s="95"/>
      <c r="H24" s="95"/>
      <c r="I24" s="96"/>
      <c r="J24" s="115"/>
      <c r="K24" s="115"/>
      <c r="L24" s="97"/>
      <c r="M24" s="8"/>
      <c r="N24" s="19" t="str">
        <f t="shared" si="1"/>
        <v>) Tablespace TS_HEMR_DATA ;</v>
      </c>
      <c r="O24" s="8"/>
      <c r="U24" s="32" t="str">
        <f t="shared" si="0"/>
        <v>COMMENT ON COLUMN MACHINE. IS '' ;</v>
      </c>
    </row>
    <row r="25" spans="1:21" s="3" customFormat="1" ht="13.5" customHeight="1">
      <c r="A25" s="104">
        <v>19</v>
      </c>
      <c r="B25" s="101"/>
      <c r="C25" s="101"/>
      <c r="D25" s="95"/>
      <c r="E25" s="95"/>
      <c r="F25" s="95"/>
      <c r="G25" s="95"/>
      <c r="H25" s="95"/>
      <c r="I25" s="96"/>
      <c r="J25" s="115"/>
      <c r="K25" s="115"/>
      <c r="L25" s="97"/>
      <c r="M25" s="8"/>
      <c r="N25" s="19" t="str">
        <f t="shared" si="1"/>
        <v>) Tablespace TS_HEMR_DATA ;</v>
      </c>
      <c r="O25" s="8"/>
      <c r="U25" s="32" t="str">
        <f t="shared" si="0"/>
        <v>COMMENT ON COLUMN MACHINE. IS '' ;</v>
      </c>
    </row>
    <row r="26" spans="1:21" s="3" customFormat="1" ht="14.25">
      <c r="A26" s="104">
        <v>20</v>
      </c>
      <c r="B26" s="101"/>
      <c r="C26" s="101"/>
      <c r="D26" s="95"/>
      <c r="E26" s="95"/>
      <c r="F26" s="95"/>
      <c r="G26" s="95"/>
      <c r="H26" s="95"/>
      <c r="I26" s="96"/>
      <c r="J26" s="115"/>
      <c r="K26" s="115"/>
      <c r="L26" s="97"/>
      <c r="M26" s="8"/>
      <c r="N26" s="19" t="str">
        <f t="shared" si="1"/>
        <v>) Tablespace TS_HEMR_DATA ;</v>
      </c>
      <c r="O26" s="8"/>
      <c r="U26" s="32" t="str">
        <f t="shared" si="0"/>
        <v>COMMENT ON COLUMN MACHINE. IS '' ;</v>
      </c>
    </row>
    <row r="27" spans="1:21" s="3" customFormat="1" ht="14.25">
      <c r="A27" s="104">
        <v>21</v>
      </c>
      <c r="B27" s="101"/>
      <c r="C27" s="101"/>
      <c r="D27" s="95"/>
      <c r="E27" s="95"/>
      <c r="F27" s="95"/>
      <c r="G27" s="95"/>
      <c r="H27" s="95"/>
      <c r="I27" s="96"/>
      <c r="J27" s="115"/>
      <c r="K27" s="115"/>
      <c r="L27" s="97"/>
      <c r="M27" s="8"/>
      <c r="N27" s="19" t="str">
        <f t="shared" si="1"/>
        <v>) Tablespace TS_HEMR_DATA ;</v>
      </c>
      <c r="O27" s="8"/>
      <c r="U27" s="32" t="str">
        <f t="shared" si="0"/>
        <v>COMMENT ON COLUMN MACHINE. IS '' ;</v>
      </c>
    </row>
    <row r="28" spans="1:21" s="3" customFormat="1" ht="14.25">
      <c r="A28" s="104">
        <v>22</v>
      </c>
      <c r="B28" s="101"/>
      <c r="C28" s="101"/>
      <c r="D28" s="95"/>
      <c r="E28" s="95"/>
      <c r="F28" s="95"/>
      <c r="G28" s="95"/>
      <c r="H28" s="95"/>
      <c r="I28" s="96"/>
      <c r="J28" s="115"/>
      <c r="K28" s="115"/>
      <c r="L28" s="97"/>
      <c r="M28" s="8"/>
      <c r="N28" s="19" t="str">
        <f t="shared" si="1"/>
        <v>) Tablespace TS_HEMR_DATA ;</v>
      </c>
      <c r="O28" s="8"/>
      <c r="U28" s="32" t="str">
        <f t="shared" si="0"/>
        <v>COMMENT ON COLUMN MACHINE. IS '' ;</v>
      </c>
    </row>
    <row r="29" spans="1:21" s="3" customFormat="1" ht="14.25">
      <c r="A29" s="104">
        <v>23</v>
      </c>
      <c r="B29" s="101"/>
      <c r="C29" s="101"/>
      <c r="D29" s="95"/>
      <c r="E29" s="95"/>
      <c r="F29" s="95"/>
      <c r="G29" s="95"/>
      <c r="H29" s="95"/>
      <c r="I29" s="96"/>
      <c r="J29" s="115"/>
      <c r="K29" s="115"/>
      <c r="L29" s="97"/>
      <c r="M29" s="8"/>
      <c r="N29" s="19" t="str">
        <f t="shared" si="1"/>
        <v>) Tablespace TS_HEMR_DATA ;</v>
      </c>
      <c r="O29" s="8"/>
      <c r="U29" s="32" t="str">
        <f t="shared" si="0"/>
        <v>COMMENT ON COLUMN MACHINE. IS '' ;</v>
      </c>
    </row>
    <row r="30" spans="1:21" s="3" customFormat="1" ht="14.25">
      <c r="A30" s="104">
        <v>24</v>
      </c>
      <c r="B30" s="101"/>
      <c r="C30" s="101"/>
      <c r="D30" s="95"/>
      <c r="E30" s="95"/>
      <c r="F30" s="95"/>
      <c r="G30" s="95"/>
      <c r="H30" s="95"/>
      <c r="I30" s="96"/>
      <c r="J30" s="115"/>
      <c r="K30" s="115"/>
      <c r="L30" s="97"/>
      <c r="M30" s="8"/>
      <c r="N30" s="19" t="str">
        <f t="shared" si="1"/>
        <v>) Tablespace TS_HEMR_DATA ;</v>
      </c>
      <c r="O30" s="8"/>
      <c r="U30" s="32" t="str">
        <f t="shared" si="0"/>
        <v>COMMENT ON COLUMN MACHINE. IS '' ;</v>
      </c>
    </row>
    <row r="31" spans="1:21" s="3" customFormat="1" ht="14.25">
      <c r="A31" s="104">
        <v>25</v>
      </c>
      <c r="B31" s="101"/>
      <c r="C31" s="101"/>
      <c r="D31" s="95"/>
      <c r="E31" s="95"/>
      <c r="F31" s="95"/>
      <c r="G31" s="95"/>
      <c r="H31" s="95"/>
      <c r="I31" s="96"/>
      <c r="J31" s="115"/>
      <c r="K31" s="115"/>
      <c r="L31" s="97"/>
      <c r="M31" s="8"/>
      <c r="N31" s="19" t="str">
        <f t="shared" si="1"/>
        <v>) Tablespace TS_HEMR_DATA ;</v>
      </c>
      <c r="O31" s="8"/>
      <c r="U31" s="32" t="str">
        <f t="shared" si="0"/>
        <v>COMMENT ON COLUMN MACHINE. IS '' ;</v>
      </c>
    </row>
    <row r="32" spans="1:21" s="3" customFormat="1" ht="14.25">
      <c r="A32" s="104">
        <v>26</v>
      </c>
      <c r="B32" s="101"/>
      <c r="C32" s="101"/>
      <c r="D32" s="95"/>
      <c r="E32" s="95"/>
      <c r="F32" s="95"/>
      <c r="G32" s="95"/>
      <c r="H32" s="95"/>
      <c r="I32" s="96"/>
      <c r="J32" s="115"/>
      <c r="K32" s="115"/>
      <c r="L32" s="97"/>
      <c r="M32" s="8"/>
      <c r="N32" s="19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8"/>
      <c r="U32" s="32" t="str">
        <f t="shared" si="0"/>
        <v>COMMENT ON COLUMN MACHINE. IS '' ;</v>
      </c>
    </row>
    <row r="33" spans="1:21" s="3" customFormat="1" ht="14.25">
      <c r="A33" s="104">
        <v>27</v>
      </c>
      <c r="B33" s="101"/>
      <c r="C33" s="101"/>
      <c r="D33" s="95"/>
      <c r="E33" s="95"/>
      <c r="F33" s="95"/>
      <c r="G33" s="95"/>
      <c r="H33" s="95"/>
      <c r="I33" s="96"/>
      <c r="J33" s="115"/>
      <c r="K33" s="115"/>
      <c r="L33" s="97"/>
      <c r="M33" s="8"/>
      <c r="N33" s="19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8"/>
      <c r="U33" s="32" t="str">
        <f t="shared" si="0"/>
        <v>COMMENT ON COLUMN MACHINE. IS '' ;</v>
      </c>
    </row>
    <row r="34" spans="1:21" s="3" customFormat="1" ht="14.25">
      <c r="A34" s="104">
        <v>28</v>
      </c>
      <c r="B34" s="101"/>
      <c r="C34" s="101"/>
      <c r="D34" s="95"/>
      <c r="E34" s="95"/>
      <c r="F34" s="95"/>
      <c r="G34" s="95"/>
      <c r="H34" s="95"/>
      <c r="I34" s="96"/>
      <c r="J34" s="115"/>
      <c r="K34" s="115"/>
      <c r="L34" s="97"/>
      <c r="M34" s="8"/>
      <c r="N34" s="19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8"/>
      <c r="U34" s="32" t="str">
        <f t="shared" si="0"/>
        <v>COMMENT ON COLUMN MACHINE. IS '' ;</v>
      </c>
    </row>
    <row r="35" spans="1:21" s="3" customFormat="1" ht="14.25">
      <c r="A35" s="109">
        <v>29</v>
      </c>
      <c r="B35" s="101"/>
      <c r="C35" s="101"/>
      <c r="D35" s="95"/>
      <c r="E35" s="95"/>
      <c r="F35" s="95"/>
      <c r="G35" s="95"/>
      <c r="H35" s="95"/>
      <c r="I35" s="96"/>
      <c r="J35" s="115"/>
      <c r="K35" s="115"/>
      <c r="L35" s="97"/>
      <c r="M35" s="8"/>
      <c r="N35" s="19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8"/>
      <c r="U35" s="32" t="str">
        <f t="shared" si="0"/>
        <v>COMMENT ON COLUMN MACHINE. IS '' ;</v>
      </c>
    </row>
    <row r="36" spans="1:21" s="3" customFormat="1" ht="14.25">
      <c r="A36" s="104">
        <v>30</v>
      </c>
      <c r="B36" s="101"/>
      <c r="C36" s="101"/>
      <c r="D36" s="95"/>
      <c r="E36" s="95"/>
      <c r="F36" s="95"/>
      <c r="G36" s="95"/>
      <c r="H36" s="95"/>
      <c r="I36" s="96"/>
      <c r="J36" s="115"/>
      <c r="K36" s="115"/>
      <c r="L36" s="97"/>
      <c r="M36" s="8"/>
      <c r="N36" s="19"/>
      <c r="O36" s="8"/>
      <c r="U36" s="32"/>
    </row>
    <row r="37" spans="1:21" s="3" customFormat="1" ht="14.25">
      <c r="A37" s="104">
        <v>31</v>
      </c>
      <c r="B37" s="101"/>
      <c r="C37" s="101"/>
      <c r="D37" s="95"/>
      <c r="E37" s="95"/>
      <c r="F37" s="95"/>
      <c r="G37" s="95"/>
      <c r="H37" s="95"/>
      <c r="I37" s="96"/>
      <c r="J37" s="115"/>
      <c r="K37" s="115"/>
      <c r="L37" s="97"/>
      <c r="M37" s="8"/>
      <c r="N37" s="19"/>
      <c r="O37" s="8"/>
      <c r="U37" s="32"/>
    </row>
    <row r="38" spans="1:21" s="3" customFormat="1" ht="13.5">
      <c r="A38" s="40"/>
      <c r="B38" s="41"/>
      <c r="C38" s="41"/>
      <c r="D38" s="43"/>
      <c r="E38" s="43"/>
      <c r="F38" s="43"/>
      <c r="G38" s="50"/>
      <c r="H38" s="43"/>
      <c r="I38" s="44"/>
      <c r="J38" s="146"/>
      <c r="K38" s="146"/>
      <c r="L38" s="28"/>
      <c r="M38" s="8"/>
      <c r="N38" s="19"/>
      <c r="O38" s="8"/>
      <c r="U38" s="32"/>
    </row>
    <row r="39" spans="1:21" s="3" customFormat="1" ht="13.5">
      <c r="A39" s="42"/>
      <c r="B39" s="41"/>
      <c r="C39" s="41"/>
      <c r="D39" s="43"/>
      <c r="E39" s="43"/>
      <c r="F39" s="43"/>
      <c r="G39" s="43"/>
      <c r="H39" s="43"/>
      <c r="I39" s="44"/>
      <c r="J39" s="24"/>
      <c r="K39" s="24"/>
      <c r="L39" s="28"/>
      <c r="M39" s="8"/>
      <c r="N39" s="19" t="s">
        <v>36</v>
      </c>
      <c r="O39" s="8"/>
      <c r="U39" s="32"/>
    </row>
    <row r="40" spans="1:21" s="3" customFormat="1" ht="13.5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1" s="3" customFormat="1" ht="13.5">
      <c r="A41" s="39"/>
      <c r="B41" s="26"/>
      <c r="C41" s="26"/>
      <c r="D41" s="25"/>
      <c r="E41" s="25"/>
      <c r="F41" s="25"/>
      <c r="G41" s="25"/>
      <c r="H41" s="25"/>
      <c r="I41" s="26"/>
      <c r="J41" s="24"/>
      <c r="K41" s="24"/>
      <c r="L41" s="8"/>
      <c r="M41" s="8"/>
      <c r="N41" s="22"/>
      <c r="O41" s="8"/>
    </row>
    <row r="42" spans="1:21" s="2" customFormat="1" ht="13.5">
      <c r="A42" s="31" t="s">
        <v>11</v>
      </c>
      <c r="B42" s="31" t="s">
        <v>30</v>
      </c>
      <c r="C42" s="116" t="s">
        <v>15</v>
      </c>
      <c r="D42" s="116"/>
      <c r="E42" s="116"/>
      <c r="F42" s="116"/>
      <c r="G42" s="116"/>
      <c r="H42" s="31" t="s">
        <v>27</v>
      </c>
      <c r="I42" s="31" t="s">
        <v>17</v>
      </c>
      <c r="J42" s="118" t="s">
        <v>28</v>
      </c>
      <c r="K42" s="119"/>
      <c r="L42" s="120"/>
      <c r="M42" s="38"/>
      <c r="N42" s="21"/>
      <c r="O42" s="4"/>
    </row>
    <row r="43" spans="1:21" s="2" customFormat="1" ht="13.5">
      <c r="A43" s="7">
        <v>1</v>
      </c>
      <c r="B43" s="9"/>
      <c r="C43" s="117"/>
      <c r="D43" s="117"/>
      <c r="E43" s="117"/>
      <c r="F43" s="117"/>
      <c r="G43" s="117"/>
      <c r="H43" s="7"/>
      <c r="I43" s="29"/>
      <c r="J43" s="112"/>
      <c r="K43" s="113"/>
      <c r="L43" s="114"/>
      <c r="M43" s="33"/>
      <c r="N43" s="21" t="str">
        <f>CONCATENATE("CREATE ", IF(H43&lt;&gt;"", "UNIQUE ", ""),"INDEX ", B43, " ON ", $F$4, "( ",C43, " ) " )</f>
        <v xml:space="preserve">CREATE INDEX  ON MACHINE(  ) </v>
      </c>
      <c r="O43" s="4"/>
    </row>
    <row r="44" spans="1:21" s="2" customFormat="1" ht="13.5">
      <c r="A44" s="48">
        <v>2</v>
      </c>
      <c r="B44" s="49"/>
      <c r="C44" s="111"/>
      <c r="D44" s="111"/>
      <c r="E44" s="111"/>
      <c r="F44" s="111"/>
      <c r="G44" s="111"/>
      <c r="H44" s="7"/>
      <c r="I44" s="29"/>
      <c r="J44" s="112"/>
      <c r="K44" s="113"/>
      <c r="L44" s="114"/>
      <c r="M44" s="40"/>
      <c r="N44" s="21" t="str">
        <f t="shared" ref="N44:N46" si="2">CONCATENATE("CREATE ", IF(H44&lt;&gt;"", "UNIQUE ", ""),"INDEX ", B44, " ON ", $F$4, "( ",C44, " ) " )</f>
        <v xml:space="preserve">CREATE INDEX  ON MACHINE(  ) </v>
      </c>
      <c r="O44" s="4"/>
    </row>
    <row r="45" spans="1:21" s="2" customFormat="1" ht="13.5">
      <c r="A45" s="48">
        <v>3</v>
      </c>
      <c r="B45" s="49"/>
      <c r="C45" s="111"/>
      <c r="D45" s="111"/>
      <c r="E45" s="111"/>
      <c r="F45" s="111"/>
      <c r="G45" s="111"/>
      <c r="H45" s="7"/>
      <c r="I45" s="29"/>
      <c r="J45" s="45"/>
      <c r="K45" s="46"/>
      <c r="L45" s="47"/>
      <c r="M45" s="40"/>
      <c r="N45" s="21" t="str">
        <f t="shared" si="2"/>
        <v xml:space="preserve">CREATE INDEX  ON MACHINE(  ) </v>
      </c>
      <c r="O45" s="4"/>
    </row>
    <row r="46" spans="1:21" s="2" customFormat="1" ht="13.5">
      <c r="A46" s="48">
        <v>4</v>
      </c>
      <c r="B46" s="49"/>
      <c r="C46" s="111"/>
      <c r="D46" s="111"/>
      <c r="E46" s="111"/>
      <c r="F46" s="111"/>
      <c r="G46" s="111"/>
      <c r="H46" s="7"/>
      <c r="I46" s="29"/>
      <c r="J46" s="112"/>
      <c r="K46" s="113"/>
      <c r="L46" s="114"/>
      <c r="M46" s="40"/>
      <c r="N46" s="21" t="str">
        <f t="shared" si="2"/>
        <v xml:space="preserve">CREATE INDEX  ON MACHINE(  ) </v>
      </c>
      <c r="O46" s="4"/>
    </row>
    <row r="47" spans="1:21" s="2" customFormat="1" ht="13.5">
      <c r="B47" s="2">
        <f>LEN(B43)</f>
        <v>0</v>
      </c>
      <c r="N47" s="22"/>
    </row>
    <row r="48" spans="1:21" s="2" customFormat="1" ht="13.5">
      <c r="N48" s="22"/>
    </row>
    <row r="49" spans="1:23" s="2" customFormat="1" ht="13.5">
      <c r="N49" s="22"/>
    </row>
    <row r="50" spans="1:23" s="2" customFormat="1" ht="13.5">
      <c r="A50" s="157" t="s">
        <v>116</v>
      </c>
      <c r="B50" s="157"/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7" t="s">
        <v>119</v>
      </c>
      <c r="N50" s="157"/>
      <c r="O50" s="157"/>
      <c r="P50" s="157"/>
      <c r="Q50" s="157"/>
      <c r="R50" s="157"/>
      <c r="S50" s="157"/>
      <c r="T50" s="157"/>
      <c r="U50" s="157"/>
      <c r="V50" s="157"/>
      <c r="W50" s="157"/>
    </row>
    <row r="51" spans="1:23" s="2" customFormat="1">
      <c r="A51" s="158"/>
      <c r="B51" s="162" t="s">
        <v>118</v>
      </c>
      <c r="C51" s="163"/>
      <c r="D51" s="163"/>
      <c r="E51" s="163"/>
      <c r="F51" s="164"/>
      <c r="G51" s="162" t="s">
        <v>120</v>
      </c>
      <c r="H51" s="163"/>
      <c r="I51" s="163"/>
      <c r="J51" s="163"/>
      <c r="K51" s="163"/>
      <c r="L51" s="164"/>
      <c r="M51" s="162" t="s">
        <v>118</v>
      </c>
      <c r="N51" s="163"/>
      <c r="O51" s="163"/>
      <c r="P51" s="163"/>
      <c r="Q51" s="164"/>
      <c r="R51" s="162" t="s">
        <v>117</v>
      </c>
      <c r="S51" s="163"/>
      <c r="T51" s="163"/>
      <c r="U51" s="163"/>
      <c r="V51" s="163"/>
      <c r="W51" s="164"/>
    </row>
    <row r="52" spans="1:23" s="2" customFormat="1" ht="13.5">
      <c r="A52" s="29">
        <v>1</v>
      </c>
      <c r="B52" s="159" t="str">
        <f>IF(AND(COUNTA($G$7:$G$37) = 1, LOWER($G7)="y"),"ALTER TABLE " &amp; $F$4 &amp; " ADD CONSTRAINT " &amp; LOWER("pk_" &amp; $F$4 &amp;"_" &amp; $B7)&amp; " PRIMARY KEY( " &amp; $B7 &amp; ");","")</f>
        <v>ALTER TABLE MACHINE ADD CONSTRAINT pk_machine_machineid PRIMARY KEY( MachineID);</v>
      </c>
      <c r="C52" s="160"/>
      <c r="D52" s="160"/>
      <c r="E52" s="160"/>
      <c r="F52" s="161"/>
      <c r="G52" s="159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60"/>
      <c r="I52" s="160"/>
      <c r="J52" s="160"/>
      <c r="K52" s="160"/>
      <c r="L52" s="161"/>
      <c r="M52" s="159" t="str">
        <f>IF(B52 &lt;&gt; "", IF(AND(COUNTA($G$7:$G$37) = 1, LOWER($G7)="y"),"ALTER TABLE " &amp; $F$4 &amp; " DROP PRIMARY KEY;",""), "")</f>
        <v>ALTER TABLE MACHINE DROP PRIMARY KEY;</v>
      </c>
      <c r="N52" s="160"/>
      <c r="O52" s="160"/>
      <c r="P52" s="160"/>
      <c r="Q52" s="161"/>
      <c r="R52" s="159" t="str">
        <f>IF($H7&lt;&gt;"","ALTER TABLE " &amp; $F$4 &amp; " DROP FOREIGN KEY  `fk_" &amp; LOWER($H7 &amp; "_" &amp; $F$4 &amp; "_" &amp; $B7) &amp; "`;","")</f>
        <v/>
      </c>
      <c r="S52" s="160"/>
      <c r="T52" s="160"/>
      <c r="U52" s="160"/>
      <c r="V52" s="160"/>
      <c r="W52" s="161"/>
    </row>
    <row r="53" spans="1:23" s="2" customFormat="1" ht="13.5">
      <c r="A53" s="29">
        <v>2</v>
      </c>
      <c r="B53" s="159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60"/>
      <c r="D53" s="160"/>
      <c r="E53" s="160"/>
      <c r="F53" s="161"/>
      <c r="G53" s="159" t="str">
        <f>IF($H8&lt;&gt;"","ALTER TABLE " &amp; $F$4 &amp; " ADD CONSTRAINT fk_" &amp; LOWER($H8 &amp; "_" &amp; $F$4 &amp; "_" &amp; $B8) &amp; "  FOREIGN KEY(" &amp; $B8 &amp; " ) REFERENCES " &amp; $H8&amp; "(" &amp; $B8 &amp; ");","")</f>
        <v/>
      </c>
      <c r="H53" s="160"/>
      <c r="I53" s="160"/>
      <c r="J53" s="160"/>
      <c r="K53" s="160"/>
      <c r="L53" s="161"/>
      <c r="M53" s="159" t="str">
        <f t="shared" ref="M53:M82" si="4">IF(B53 &lt;&gt; "", IF(AND(COUNTA($G$7:$G$37) = 1, LOWER($G8)="y"),"ALTER TABLE " &amp; $F$4 &amp; " DROP PRIMARY KEY;",""), "")</f>
        <v/>
      </c>
      <c r="N53" s="160"/>
      <c r="O53" s="160"/>
      <c r="P53" s="160"/>
      <c r="Q53" s="161"/>
      <c r="R53" s="159" t="str">
        <f>IF($H8&lt;&gt;"","ALTER TABLE " &amp; $F$4 &amp; " DROP FOREIGN KEY  `fk_" &amp; LOWER($H8 &amp; "_" &amp; $F$4 &amp; "_" &amp; $B8) &amp; "`;","")</f>
        <v/>
      </c>
      <c r="S53" s="160"/>
      <c r="T53" s="160"/>
      <c r="U53" s="160"/>
      <c r="V53" s="160"/>
      <c r="W53" s="161"/>
    </row>
    <row r="54" spans="1:23" s="2" customFormat="1" ht="13.5">
      <c r="A54" s="29">
        <v>3</v>
      </c>
      <c r="B54" s="159" t="str">
        <f t="shared" si="3"/>
        <v/>
      </c>
      <c r="C54" s="160"/>
      <c r="D54" s="160"/>
      <c r="E54" s="160"/>
      <c r="F54" s="161"/>
      <c r="G54" s="159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/>
      </c>
      <c r="H54" s="160"/>
      <c r="I54" s="160"/>
      <c r="J54" s="160"/>
      <c r="K54" s="160"/>
      <c r="L54" s="161"/>
      <c r="M54" s="159" t="str">
        <f t="shared" si="4"/>
        <v/>
      </c>
      <c r="N54" s="160"/>
      <c r="O54" s="160"/>
      <c r="P54" s="160"/>
      <c r="Q54" s="161"/>
      <c r="R54" s="159" t="str">
        <f t="shared" ref="R54:R82" si="6">IF($H9&lt;&gt;"","ALTER TABLE " &amp; $F$4 &amp; " DROP FOREIGN KEY  `fk_" &amp; LOWER($H9 &amp; "_" &amp; $F$4 &amp; "_" &amp; $B9) &amp; "`;","")</f>
        <v/>
      </c>
      <c r="S54" s="160"/>
      <c r="T54" s="160"/>
      <c r="U54" s="160"/>
      <c r="V54" s="160"/>
      <c r="W54" s="161"/>
    </row>
    <row r="55" spans="1:23" s="2" customFormat="1" ht="13.5">
      <c r="A55" s="29">
        <v>4</v>
      </c>
      <c r="B55" s="159" t="str">
        <f t="shared" si="3"/>
        <v/>
      </c>
      <c r="C55" s="160"/>
      <c r="D55" s="160"/>
      <c r="E55" s="160"/>
      <c r="F55" s="161"/>
      <c r="G55" s="159" t="str">
        <f t="shared" si="5"/>
        <v/>
      </c>
      <c r="H55" s="160"/>
      <c r="I55" s="160"/>
      <c r="J55" s="160"/>
      <c r="K55" s="160"/>
      <c r="L55" s="161"/>
      <c r="M55" s="159" t="str">
        <f t="shared" si="4"/>
        <v/>
      </c>
      <c r="N55" s="160"/>
      <c r="O55" s="160"/>
      <c r="P55" s="160"/>
      <c r="Q55" s="161"/>
      <c r="R55" s="159" t="str">
        <f t="shared" si="6"/>
        <v/>
      </c>
      <c r="S55" s="160"/>
      <c r="T55" s="160"/>
      <c r="U55" s="160"/>
      <c r="V55" s="160"/>
      <c r="W55" s="161"/>
    </row>
    <row r="56" spans="1:23" s="2" customFormat="1" ht="13.5">
      <c r="A56" s="29">
        <v>5</v>
      </c>
      <c r="B56" s="159" t="str">
        <f t="shared" si="3"/>
        <v/>
      </c>
      <c r="C56" s="160"/>
      <c r="D56" s="160"/>
      <c r="E56" s="160"/>
      <c r="F56" s="161"/>
      <c r="G56" s="159" t="str">
        <f t="shared" si="5"/>
        <v/>
      </c>
      <c r="H56" s="160"/>
      <c r="I56" s="160"/>
      <c r="J56" s="160"/>
      <c r="K56" s="160"/>
      <c r="L56" s="161"/>
      <c r="M56" s="159" t="str">
        <f t="shared" si="4"/>
        <v/>
      </c>
      <c r="N56" s="160"/>
      <c r="O56" s="160"/>
      <c r="P56" s="160"/>
      <c r="Q56" s="161"/>
      <c r="R56" s="159" t="str">
        <f t="shared" si="6"/>
        <v/>
      </c>
      <c r="S56" s="160"/>
      <c r="T56" s="160"/>
      <c r="U56" s="160"/>
      <c r="V56" s="160"/>
      <c r="W56" s="161"/>
    </row>
    <row r="57" spans="1:23" s="2" customFormat="1" ht="13.5">
      <c r="A57" s="29">
        <v>6</v>
      </c>
      <c r="B57" s="159" t="str">
        <f t="shared" si="3"/>
        <v/>
      </c>
      <c r="C57" s="160"/>
      <c r="D57" s="160"/>
      <c r="E57" s="160"/>
      <c r="F57" s="161"/>
      <c r="G57" s="159" t="str">
        <f t="shared" si="5"/>
        <v/>
      </c>
      <c r="H57" s="160"/>
      <c r="I57" s="160"/>
      <c r="J57" s="160"/>
      <c r="K57" s="160"/>
      <c r="L57" s="161"/>
      <c r="M57" s="159" t="str">
        <f t="shared" si="4"/>
        <v/>
      </c>
      <c r="N57" s="160"/>
      <c r="O57" s="160"/>
      <c r="P57" s="160"/>
      <c r="Q57" s="161"/>
      <c r="R57" s="159" t="str">
        <f t="shared" si="6"/>
        <v/>
      </c>
      <c r="S57" s="160"/>
      <c r="T57" s="160"/>
      <c r="U57" s="160"/>
      <c r="V57" s="160"/>
      <c r="W57" s="161"/>
    </row>
    <row r="58" spans="1:23">
      <c r="A58" s="29">
        <v>7</v>
      </c>
      <c r="B58" s="159" t="str">
        <f t="shared" si="3"/>
        <v/>
      </c>
      <c r="C58" s="160"/>
      <c r="D58" s="160"/>
      <c r="E58" s="160"/>
      <c r="F58" s="161"/>
      <c r="G58" s="159" t="str">
        <f t="shared" si="5"/>
        <v/>
      </c>
      <c r="H58" s="160"/>
      <c r="I58" s="160"/>
      <c r="J58" s="160"/>
      <c r="K58" s="160"/>
      <c r="L58" s="161"/>
      <c r="M58" s="159" t="str">
        <f t="shared" si="4"/>
        <v/>
      </c>
      <c r="N58" s="160"/>
      <c r="O58" s="160"/>
      <c r="P58" s="160"/>
      <c r="Q58" s="161"/>
      <c r="R58" s="159" t="str">
        <f t="shared" si="6"/>
        <v/>
      </c>
      <c r="S58" s="160"/>
      <c r="T58" s="160"/>
      <c r="U58" s="160"/>
      <c r="V58" s="160"/>
      <c r="W58" s="161"/>
    </row>
    <row r="59" spans="1:23">
      <c r="A59" s="29">
        <v>8</v>
      </c>
      <c r="B59" s="159" t="str">
        <f t="shared" si="3"/>
        <v/>
      </c>
      <c r="C59" s="160"/>
      <c r="D59" s="160"/>
      <c r="E59" s="160"/>
      <c r="F59" s="161"/>
      <c r="G59" s="159" t="str">
        <f t="shared" si="5"/>
        <v/>
      </c>
      <c r="H59" s="160"/>
      <c r="I59" s="160"/>
      <c r="J59" s="160"/>
      <c r="K59" s="160"/>
      <c r="L59" s="161"/>
      <c r="M59" s="159" t="str">
        <f t="shared" si="4"/>
        <v/>
      </c>
      <c r="N59" s="160"/>
      <c r="O59" s="160"/>
      <c r="P59" s="160"/>
      <c r="Q59" s="161"/>
      <c r="R59" s="159" t="str">
        <f t="shared" si="6"/>
        <v/>
      </c>
      <c r="S59" s="160"/>
      <c r="T59" s="160"/>
      <c r="U59" s="160"/>
      <c r="V59" s="160"/>
      <c r="W59" s="161"/>
    </row>
    <row r="60" spans="1:23">
      <c r="A60" s="29">
        <v>9</v>
      </c>
      <c r="B60" s="159" t="str">
        <f t="shared" si="3"/>
        <v/>
      </c>
      <c r="C60" s="160"/>
      <c r="D60" s="160"/>
      <c r="E60" s="160"/>
      <c r="F60" s="161"/>
      <c r="G60" s="159" t="str">
        <f t="shared" si="5"/>
        <v/>
      </c>
      <c r="H60" s="160"/>
      <c r="I60" s="160"/>
      <c r="J60" s="160"/>
      <c r="K60" s="160"/>
      <c r="L60" s="161"/>
      <c r="M60" s="159" t="str">
        <f t="shared" si="4"/>
        <v/>
      </c>
      <c r="N60" s="160"/>
      <c r="O60" s="160"/>
      <c r="P60" s="160"/>
      <c r="Q60" s="161"/>
      <c r="R60" s="159" t="str">
        <f t="shared" si="6"/>
        <v/>
      </c>
      <c r="S60" s="160"/>
      <c r="T60" s="160"/>
      <c r="U60" s="160"/>
      <c r="V60" s="160"/>
      <c r="W60" s="161"/>
    </row>
    <row r="61" spans="1:23">
      <c r="A61" s="29">
        <v>10</v>
      </c>
      <c r="B61" s="159" t="str">
        <f t="shared" si="3"/>
        <v/>
      </c>
      <c r="C61" s="160"/>
      <c r="D61" s="160"/>
      <c r="E61" s="160"/>
      <c r="F61" s="161"/>
      <c r="G61" s="159" t="str">
        <f t="shared" si="5"/>
        <v/>
      </c>
      <c r="H61" s="160"/>
      <c r="I61" s="160"/>
      <c r="J61" s="160"/>
      <c r="K61" s="160"/>
      <c r="L61" s="161"/>
      <c r="M61" s="159" t="str">
        <f t="shared" si="4"/>
        <v/>
      </c>
      <c r="N61" s="160"/>
      <c r="O61" s="160"/>
      <c r="P61" s="160"/>
      <c r="Q61" s="161"/>
      <c r="R61" s="159" t="str">
        <f t="shared" si="6"/>
        <v/>
      </c>
      <c r="S61" s="160"/>
      <c r="T61" s="160"/>
      <c r="U61" s="160"/>
      <c r="V61" s="160"/>
      <c r="W61" s="161"/>
    </row>
    <row r="62" spans="1:23">
      <c r="A62" s="29">
        <v>11</v>
      </c>
      <c r="B62" s="159" t="str">
        <f t="shared" si="3"/>
        <v/>
      </c>
      <c r="C62" s="160"/>
      <c r="D62" s="160"/>
      <c r="E62" s="160"/>
      <c r="F62" s="161"/>
      <c r="G62" s="159" t="str">
        <f t="shared" si="5"/>
        <v/>
      </c>
      <c r="H62" s="160"/>
      <c r="I62" s="160"/>
      <c r="J62" s="160"/>
      <c r="K62" s="160"/>
      <c r="L62" s="161"/>
      <c r="M62" s="159" t="str">
        <f t="shared" si="4"/>
        <v/>
      </c>
      <c r="N62" s="160"/>
      <c r="O62" s="160"/>
      <c r="P62" s="160"/>
      <c r="Q62" s="161"/>
      <c r="R62" s="159" t="str">
        <f t="shared" si="6"/>
        <v/>
      </c>
      <c r="S62" s="160"/>
      <c r="T62" s="160"/>
      <c r="U62" s="160"/>
      <c r="V62" s="160"/>
      <c r="W62" s="161"/>
    </row>
    <row r="63" spans="1:23">
      <c r="A63" s="29">
        <v>12</v>
      </c>
      <c r="B63" s="159" t="str">
        <f t="shared" si="3"/>
        <v/>
      </c>
      <c r="C63" s="160"/>
      <c r="D63" s="160"/>
      <c r="E63" s="160"/>
      <c r="F63" s="161"/>
      <c r="G63" s="159" t="str">
        <f t="shared" si="5"/>
        <v/>
      </c>
      <c r="H63" s="160"/>
      <c r="I63" s="160"/>
      <c r="J63" s="160"/>
      <c r="K63" s="160"/>
      <c r="L63" s="161"/>
      <c r="M63" s="159" t="str">
        <f t="shared" si="4"/>
        <v/>
      </c>
      <c r="N63" s="160"/>
      <c r="O63" s="160"/>
      <c r="P63" s="160"/>
      <c r="Q63" s="161"/>
      <c r="R63" s="159" t="str">
        <f t="shared" si="6"/>
        <v/>
      </c>
      <c r="S63" s="160"/>
      <c r="T63" s="160"/>
      <c r="U63" s="160"/>
      <c r="V63" s="160"/>
      <c r="W63" s="161"/>
    </row>
    <row r="64" spans="1:23">
      <c r="A64" s="29">
        <v>13</v>
      </c>
      <c r="B64" s="159" t="str">
        <f t="shared" si="3"/>
        <v/>
      </c>
      <c r="C64" s="160"/>
      <c r="D64" s="160"/>
      <c r="E64" s="160"/>
      <c r="F64" s="161"/>
      <c r="G64" s="159" t="str">
        <f t="shared" si="5"/>
        <v/>
      </c>
      <c r="H64" s="160"/>
      <c r="I64" s="160"/>
      <c r="J64" s="160"/>
      <c r="K64" s="160"/>
      <c r="L64" s="161"/>
      <c r="M64" s="159" t="str">
        <f t="shared" si="4"/>
        <v/>
      </c>
      <c r="N64" s="160"/>
      <c r="O64" s="160"/>
      <c r="P64" s="160"/>
      <c r="Q64" s="161"/>
      <c r="R64" s="159" t="str">
        <f t="shared" si="6"/>
        <v/>
      </c>
      <c r="S64" s="160"/>
      <c r="T64" s="160"/>
      <c r="U64" s="160"/>
      <c r="V64" s="160"/>
      <c r="W64" s="161"/>
    </row>
    <row r="65" spans="1:23">
      <c r="A65" s="29">
        <v>14</v>
      </c>
      <c r="B65" s="159" t="str">
        <f t="shared" si="3"/>
        <v/>
      </c>
      <c r="C65" s="160"/>
      <c r="D65" s="160"/>
      <c r="E65" s="160"/>
      <c r="F65" s="161"/>
      <c r="G65" s="159" t="str">
        <f t="shared" si="5"/>
        <v/>
      </c>
      <c r="H65" s="160"/>
      <c r="I65" s="160"/>
      <c r="J65" s="160"/>
      <c r="K65" s="160"/>
      <c r="L65" s="161"/>
      <c r="M65" s="159" t="str">
        <f t="shared" si="4"/>
        <v/>
      </c>
      <c r="N65" s="160"/>
      <c r="O65" s="160"/>
      <c r="P65" s="160"/>
      <c r="Q65" s="161"/>
      <c r="R65" s="159" t="str">
        <f t="shared" si="6"/>
        <v/>
      </c>
      <c r="S65" s="160"/>
      <c r="T65" s="160"/>
      <c r="U65" s="160"/>
      <c r="V65" s="160"/>
      <c r="W65" s="161"/>
    </row>
    <row r="66" spans="1:23">
      <c r="A66" s="29">
        <v>15</v>
      </c>
      <c r="B66" s="159" t="str">
        <f t="shared" si="3"/>
        <v/>
      </c>
      <c r="C66" s="160"/>
      <c r="D66" s="160"/>
      <c r="E66" s="160"/>
      <c r="F66" s="161"/>
      <c r="G66" s="159" t="str">
        <f t="shared" si="5"/>
        <v/>
      </c>
      <c r="H66" s="160"/>
      <c r="I66" s="160"/>
      <c r="J66" s="160"/>
      <c r="K66" s="160"/>
      <c r="L66" s="161"/>
      <c r="M66" s="159" t="str">
        <f t="shared" si="4"/>
        <v/>
      </c>
      <c r="N66" s="160"/>
      <c r="O66" s="160"/>
      <c r="P66" s="160"/>
      <c r="Q66" s="161"/>
      <c r="R66" s="159" t="str">
        <f t="shared" si="6"/>
        <v/>
      </c>
      <c r="S66" s="160"/>
      <c r="T66" s="160"/>
      <c r="U66" s="160"/>
      <c r="V66" s="160"/>
      <c r="W66" s="161"/>
    </row>
    <row r="67" spans="1:23">
      <c r="A67" s="29">
        <v>16</v>
      </c>
      <c r="B67" s="159" t="str">
        <f t="shared" si="3"/>
        <v/>
      </c>
      <c r="C67" s="160"/>
      <c r="D67" s="160"/>
      <c r="E67" s="160"/>
      <c r="F67" s="161"/>
      <c r="G67" s="159" t="str">
        <f t="shared" si="5"/>
        <v/>
      </c>
      <c r="H67" s="160"/>
      <c r="I67" s="160"/>
      <c r="J67" s="160"/>
      <c r="K67" s="160"/>
      <c r="L67" s="161"/>
      <c r="M67" s="159" t="str">
        <f t="shared" si="4"/>
        <v/>
      </c>
      <c r="N67" s="160"/>
      <c r="O67" s="160"/>
      <c r="P67" s="160"/>
      <c r="Q67" s="161"/>
      <c r="R67" s="159" t="str">
        <f t="shared" si="6"/>
        <v/>
      </c>
      <c r="S67" s="160"/>
      <c r="T67" s="160"/>
      <c r="U67" s="160"/>
      <c r="V67" s="160"/>
      <c r="W67" s="161"/>
    </row>
    <row r="68" spans="1:23">
      <c r="A68" s="29">
        <v>17</v>
      </c>
      <c r="B68" s="159" t="str">
        <f t="shared" si="3"/>
        <v/>
      </c>
      <c r="C68" s="160"/>
      <c r="D68" s="160"/>
      <c r="E68" s="160"/>
      <c r="F68" s="161"/>
      <c r="G68" s="159" t="str">
        <f t="shared" si="5"/>
        <v/>
      </c>
      <c r="H68" s="160"/>
      <c r="I68" s="160"/>
      <c r="J68" s="160"/>
      <c r="K68" s="160"/>
      <c r="L68" s="161"/>
      <c r="M68" s="159" t="str">
        <f t="shared" si="4"/>
        <v/>
      </c>
      <c r="N68" s="160"/>
      <c r="O68" s="160"/>
      <c r="P68" s="160"/>
      <c r="Q68" s="161"/>
      <c r="R68" s="159" t="str">
        <f t="shared" si="6"/>
        <v/>
      </c>
      <c r="S68" s="160"/>
      <c r="T68" s="160"/>
      <c r="U68" s="160"/>
      <c r="V68" s="160"/>
      <c r="W68" s="161"/>
    </row>
    <row r="69" spans="1:23">
      <c r="A69" s="29">
        <v>18</v>
      </c>
      <c r="B69" s="159" t="str">
        <f t="shared" si="3"/>
        <v/>
      </c>
      <c r="C69" s="160"/>
      <c r="D69" s="160"/>
      <c r="E69" s="160"/>
      <c r="F69" s="161"/>
      <c r="G69" s="159" t="str">
        <f t="shared" si="5"/>
        <v/>
      </c>
      <c r="H69" s="160"/>
      <c r="I69" s="160"/>
      <c r="J69" s="160"/>
      <c r="K69" s="160"/>
      <c r="L69" s="161"/>
      <c r="M69" s="159" t="str">
        <f t="shared" si="4"/>
        <v/>
      </c>
      <c r="N69" s="160"/>
      <c r="O69" s="160"/>
      <c r="P69" s="160"/>
      <c r="Q69" s="161"/>
      <c r="R69" s="159" t="str">
        <f t="shared" si="6"/>
        <v/>
      </c>
      <c r="S69" s="160"/>
      <c r="T69" s="160"/>
      <c r="U69" s="160"/>
      <c r="V69" s="160"/>
      <c r="W69" s="161"/>
    </row>
    <row r="70" spans="1:23">
      <c r="A70" s="29">
        <v>19</v>
      </c>
      <c r="B70" s="159" t="str">
        <f t="shared" si="3"/>
        <v/>
      </c>
      <c r="C70" s="160"/>
      <c r="D70" s="160"/>
      <c r="E70" s="160"/>
      <c r="F70" s="161"/>
      <c r="G70" s="159" t="str">
        <f t="shared" si="5"/>
        <v/>
      </c>
      <c r="H70" s="160"/>
      <c r="I70" s="160"/>
      <c r="J70" s="160"/>
      <c r="K70" s="160"/>
      <c r="L70" s="161"/>
      <c r="M70" s="159" t="str">
        <f t="shared" si="4"/>
        <v/>
      </c>
      <c r="N70" s="160"/>
      <c r="O70" s="160"/>
      <c r="P70" s="160"/>
      <c r="Q70" s="161"/>
      <c r="R70" s="159" t="str">
        <f t="shared" si="6"/>
        <v/>
      </c>
      <c r="S70" s="160"/>
      <c r="T70" s="160"/>
      <c r="U70" s="160"/>
      <c r="V70" s="160"/>
      <c r="W70" s="161"/>
    </row>
    <row r="71" spans="1:23">
      <c r="A71" s="29">
        <v>20</v>
      </c>
      <c r="B71" s="159" t="str">
        <f t="shared" si="3"/>
        <v/>
      </c>
      <c r="C71" s="160"/>
      <c r="D71" s="160"/>
      <c r="E71" s="160"/>
      <c r="F71" s="161"/>
      <c r="G71" s="159" t="str">
        <f t="shared" si="5"/>
        <v/>
      </c>
      <c r="H71" s="160"/>
      <c r="I71" s="160"/>
      <c r="J71" s="160"/>
      <c r="K71" s="160"/>
      <c r="L71" s="161"/>
      <c r="M71" s="159" t="str">
        <f t="shared" si="4"/>
        <v/>
      </c>
      <c r="N71" s="160"/>
      <c r="O71" s="160"/>
      <c r="P71" s="160"/>
      <c r="Q71" s="161"/>
      <c r="R71" s="159" t="str">
        <f t="shared" si="6"/>
        <v/>
      </c>
      <c r="S71" s="160"/>
      <c r="T71" s="160"/>
      <c r="U71" s="160"/>
      <c r="V71" s="160"/>
      <c r="W71" s="161"/>
    </row>
    <row r="72" spans="1:23">
      <c r="A72" s="29">
        <v>21</v>
      </c>
      <c r="B72" s="159" t="str">
        <f t="shared" si="3"/>
        <v/>
      </c>
      <c r="C72" s="160"/>
      <c r="D72" s="160"/>
      <c r="E72" s="160"/>
      <c r="F72" s="161"/>
      <c r="G72" s="159" t="str">
        <f t="shared" si="5"/>
        <v/>
      </c>
      <c r="H72" s="160"/>
      <c r="I72" s="160"/>
      <c r="J72" s="160"/>
      <c r="K72" s="160"/>
      <c r="L72" s="161"/>
      <c r="M72" s="159" t="str">
        <f t="shared" si="4"/>
        <v/>
      </c>
      <c r="N72" s="160"/>
      <c r="O72" s="160"/>
      <c r="P72" s="160"/>
      <c r="Q72" s="161"/>
      <c r="R72" s="159" t="str">
        <f t="shared" si="6"/>
        <v/>
      </c>
      <c r="S72" s="160"/>
      <c r="T72" s="160"/>
      <c r="U72" s="160"/>
      <c r="V72" s="160"/>
      <c r="W72" s="161"/>
    </row>
    <row r="73" spans="1:23">
      <c r="A73" s="29">
        <v>22</v>
      </c>
      <c r="B73" s="159" t="str">
        <f t="shared" si="3"/>
        <v/>
      </c>
      <c r="C73" s="160"/>
      <c r="D73" s="160"/>
      <c r="E73" s="160"/>
      <c r="F73" s="161"/>
      <c r="G73" s="159" t="str">
        <f t="shared" si="5"/>
        <v/>
      </c>
      <c r="H73" s="160"/>
      <c r="I73" s="160"/>
      <c r="J73" s="160"/>
      <c r="K73" s="160"/>
      <c r="L73" s="161"/>
      <c r="M73" s="159" t="str">
        <f t="shared" si="4"/>
        <v/>
      </c>
      <c r="N73" s="160"/>
      <c r="O73" s="160"/>
      <c r="P73" s="160"/>
      <c r="Q73" s="161"/>
      <c r="R73" s="159" t="str">
        <f t="shared" si="6"/>
        <v/>
      </c>
      <c r="S73" s="160"/>
      <c r="T73" s="160"/>
      <c r="U73" s="160"/>
      <c r="V73" s="160"/>
      <c r="W73" s="161"/>
    </row>
    <row r="74" spans="1:23">
      <c r="A74" s="29">
        <v>23</v>
      </c>
      <c r="B74" s="159" t="str">
        <f t="shared" si="3"/>
        <v/>
      </c>
      <c r="C74" s="160"/>
      <c r="D74" s="160"/>
      <c r="E74" s="160"/>
      <c r="F74" s="161"/>
      <c r="G74" s="159" t="str">
        <f t="shared" si="5"/>
        <v/>
      </c>
      <c r="H74" s="160"/>
      <c r="I74" s="160"/>
      <c r="J74" s="160"/>
      <c r="K74" s="160"/>
      <c r="L74" s="161"/>
      <c r="M74" s="159" t="str">
        <f t="shared" si="4"/>
        <v/>
      </c>
      <c r="N74" s="160"/>
      <c r="O74" s="160"/>
      <c r="P74" s="160"/>
      <c r="Q74" s="161"/>
      <c r="R74" s="159" t="str">
        <f t="shared" si="6"/>
        <v/>
      </c>
      <c r="S74" s="160"/>
      <c r="T74" s="160"/>
      <c r="U74" s="160"/>
      <c r="V74" s="160"/>
      <c r="W74" s="161"/>
    </row>
    <row r="75" spans="1:23">
      <c r="A75" s="29">
        <v>24</v>
      </c>
      <c r="B75" s="159" t="str">
        <f t="shared" si="3"/>
        <v/>
      </c>
      <c r="C75" s="160"/>
      <c r="D75" s="160"/>
      <c r="E75" s="160"/>
      <c r="F75" s="161"/>
      <c r="G75" s="159" t="str">
        <f t="shared" si="5"/>
        <v/>
      </c>
      <c r="H75" s="160"/>
      <c r="I75" s="160"/>
      <c r="J75" s="160"/>
      <c r="K75" s="160"/>
      <c r="L75" s="161"/>
      <c r="M75" s="159" t="str">
        <f t="shared" si="4"/>
        <v/>
      </c>
      <c r="N75" s="160"/>
      <c r="O75" s="160"/>
      <c r="P75" s="160"/>
      <c r="Q75" s="161"/>
      <c r="R75" s="159" t="str">
        <f t="shared" si="6"/>
        <v/>
      </c>
      <c r="S75" s="160"/>
      <c r="T75" s="160"/>
      <c r="U75" s="160"/>
      <c r="V75" s="160"/>
      <c r="W75" s="161"/>
    </row>
    <row r="76" spans="1:23">
      <c r="A76" s="29">
        <v>25</v>
      </c>
      <c r="B76" s="159" t="str">
        <f t="shared" si="3"/>
        <v/>
      </c>
      <c r="C76" s="160"/>
      <c r="D76" s="160"/>
      <c r="E76" s="160"/>
      <c r="F76" s="161"/>
      <c r="G76" s="159" t="str">
        <f t="shared" si="5"/>
        <v/>
      </c>
      <c r="H76" s="160"/>
      <c r="I76" s="160"/>
      <c r="J76" s="160"/>
      <c r="K76" s="160"/>
      <c r="L76" s="161"/>
      <c r="M76" s="159" t="str">
        <f t="shared" si="4"/>
        <v/>
      </c>
      <c r="N76" s="160"/>
      <c r="O76" s="160"/>
      <c r="P76" s="160"/>
      <c r="Q76" s="161"/>
      <c r="R76" s="159" t="str">
        <f t="shared" si="6"/>
        <v/>
      </c>
      <c r="S76" s="160"/>
      <c r="T76" s="160"/>
      <c r="U76" s="160"/>
      <c r="V76" s="160"/>
      <c r="W76" s="161"/>
    </row>
    <row r="77" spans="1:23">
      <c r="A77" s="29">
        <v>26</v>
      </c>
      <c r="B77" s="159" t="str">
        <f t="shared" si="3"/>
        <v/>
      </c>
      <c r="C77" s="160"/>
      <c r="D77" s="160"/>
      <c r="E77" s="160"/>
      <c r="F77" s="161"/>
      <c r="G77" s="159" t="str">
        <f t="shared" si="5"/>
        <v/>
      </c>
      <c r="H77" s="160"/>
      <c r="I77" s="160"/>
      <c r="J77" s="160"/>
      <c r="K77" s="160"/>
      <c r="L77" s="161"/>
      <c r="M77" s="159" t="str">
        <f t="shared" si="4"/>
        <v/>
      </c>
      <c r="N77" s="160"/>
      <c r="O77" s="160"/>
      <c r="P77" s="160"/>
      <c r="Q77" s="161"/>
      <c r="R77" s="159" t="str">
        <f t="shared" si="6"/>
        <v/>
      </c>
      <c r="S77" s="160"/>
      <c r="T77" s="160"/>
      <c r="U77" s="160"/>
      <c r="V77" s="160"/>
      <c r="W77" s="161"/>
    </row>
    <row r="78" spans="1:23">
      <c r="A78" s="29">
        <v>27</v>
      </c>
      <c r="B78" s="159" t="str">
        <f t="shared" si="3"/>
        <v/>
      </c>
      <c r="C78" s="160"/>
      <c r="D78" s="160"/>
      <c r="E78" s="160"/>
      <c r="F78" s="161"/>
      <c r="G78" s="159" t="str">
        <f t="shared" si="5"/>
        <v/>
      </c>
      <c r="H78" s="160"/>
      <c r="I78" s="160"/>
      <c r="J78" s="160"/>
      <c r="K78" s="160"/>
      <c r="L78" s="161"/>
      <c r="M78" s="159" t="str">
        <f t="shared" si="4"/>
        <v/>
      </c>
      <c r="N78" s="160"/>
      <c r="O78" s="160"/>
      <c r="P78" s="160"/>
      <c r="Q78" s="161"/>
      <c r="R78" s="159" t="str">
        <f t="shared" si="6"/>
        <v/>
      </c>
      <c r="S78" s="160"/>
      <c r="T78" s="160"/>
      <c r="U78" s="160"/>
      <c r="V78" s="160"/>
      <c r="W78" s="161"/>
    </row>
    <row r="79" spans="1:23">
      <c r="A79" s="29">
        <v>28</v>
      </c>
      <c r="B79" s="159" t="str">
        <f t="shared" si="3"/>
        <v/>
      </c>
      <c r="C79" s="160"/>
      <c r="D79" s="160"/>
      <c r="E79" s="160"/>
      <c r="F79" s="161"/>
      <c r="G79" s="159" t="str">
        <f t="shared" si="5"/>
        <v/>
      </c>
      <c r="H79" s="160"/>
      <c r="I79" s="160"/>
      <c r="J79" s="160"/>
      <c r="K79" s="160"/>
      <c r="L79" s="161"/>
      <c r="M79" s="159" t="str">
        <f t="shared" si="4"/>
        <v/>
      </c>
      <c r="N79" s="160"/>
      <c r="O79" s="160"/>
      <c r="P79" s="160"/>
      <c r="Q79" s="161"/>
      <c r="R79" s="159" t="str">
        <f t="shared" si="6"/>
        <v/>
      </c>
      <c r="S79" s="160"/>
      <c r="T79" s="160"/>
      <c r="U79" s="160"/>
      <c r="V79" s="160"/>
      <c r="W79" s="161"/>
    </row>
    <row r="80" spans="1:23">
      <c r="A80" s="29">
        <v>29</v>
      </c>
      <c r="B80" s="159" t="str">
        <f t="shared" si="3"/>
        <v/>
      </c>
      <c r="C80" s="160"/>
      <c r="D80" s="160"/>
      <c r="E80" s="160"/>
      <c r="F80" s="161"/>
      <c r="G80" s="159" t="str">
        <f t="shared" si="5"/>
        <v/>
      </c>
      <c r="H80" s="160"/>
      <c r="I80" s="160"/>
      <c r="J80" s="160"/>
      <c r="K80" s="160"/>
      <c r="L80" s="161"/>
      <c r="M80" s="159" t="str">
        <f t="shared" si="4"/>
        <v/>
      </c>
      <c r="N80" s="160"/>
      <c r="O80" s="160"/>
      <c r="P80" s="160"/>
      <c r="Q80" s="161"/>
      <c r="R80" s="159" t="str">
        <f t="shared" si="6"/>
        <v/>
      </c>
      <c r="S80" s="160"/>
      <c r="T80" s="160"/>
      <c r="U80" s="160"/>
      <c r="V80" s="160"/>
      <c r="W80" s="161"/>
    </row>
    <row r="81" spans="1:23">
      <c r="A81" s="29">
        <v>30</v>
      </c>
      <c r="B81" s="159" t="str">
        <f t="shared" si="3"/>
        <v/>
      </c>
      <c r="C81" s="160"/>
      <c r="D81" s="160"/>
      <c r="E81" s="160"/>
      <c r="F81" s="161"/>
      <c r="G81" s="159" t="str">
        <f t="shared" si="5"/>
        <v/>
      </c>
      <c r="H81" s="160"/>
      <c r="I81" s="160"/>
      <c r="J81" s="160"/>
      <c r="K81" s="160"/>
      <c r="L81" s="161"/>
      <c r="M81" s="159" t="str">
        <f t="shared" si="4"/>
        <v/>
      </c>
      <c r="N81" s="160"/>
      <c r="O81" s="160"/>
      <c r="P81" s="160"/>
      <c r="Q81" s="161"/>
      <c r="R81" s="159" t="str">
        <f t="shared" si="6"/>
        <v/>
      </c>
      <c r="S81" s="160"/>
      <c r="T81" s="160"/>
      <c r="U81" s="160"/>
      <c r="V81" s="160"/>
      <c r="W81" s="161"/>
    </row>
    <row r="82" spans="1:23">
      <c r="A82" s="29">
        <v>31</v>
      </c>
      <c r="B82" s="159" t="str">
        <f t="shared" si="3"/>
        <v/>
      </c>
      <c r="C82" s="160"/>
      <c r="D82" s="160"/>
      <c r="E82" s="160"/>
      <c r="F82" s="161"/>
      <c r="G82" s="159" t="str">
        <f t="shared" si="5"/>
        <v/>
      </c>
      <c r="H82" s="160"/>
      <c r="I82" s="160"/>
      <c r="J82" s="160"/>
      <c r="K82" s="160"/>
      <c r="L82" s="161"/>
      <c r="M82" s="159" t="str">
        <f t="shared" si="4"/>
        <v/>
      </c>
      <c r="N82" s="160"/>
      <c r="O82" s="160"/>
      <c r="P82" s="160"/>
      <c r="Q82" s="161"/>
      <c r="R82" s="159" t="str">
        <f t="shared" si="6"/>
        <v/>
      </c>
      <c r="S82" s="160"/>
      <c r="T82" s="160"/>
      <c r="U82" s="160"/>
      <c r="V82" s="160"/>
      <c r="W82" s="161"/>
    </row>
  </sheetData>
  <mergeCells count="190">
    <mergeCell ref="M81:Q81"/>
    <mergeCell ref="R81:W81"/>
    <mergeCell ref="M82:Q82"/>
    <mergeCell ref="R82:W82"/>
    <mergeCell ref="M50:W50"/>
    <mergeCell ref="M78:Q78"/>
    <mergeCell ref="R78:W78"/>
    <mergeCell ref="M79:Q79"/>
    <mergeCell ref="R79:W79"/>
    <mergeCell ref="M80:Q80"/>
    <mergeCell ref="R80:W80"/>
    <mergeCell ref="M75:Q75"/>
    <mergeCell ref="R75:W75"/>
    <mergeCell ref="M76:Q76"/>
    <mergeCell ref="R76:W76"/>
    <mergeCell ref="M77:Q77"/>
    <mergeCell ref="R77:W77"/>
    <mergeCell ref="M72:Q72"/>
    <mergeCell ref="R72:W72"/>
    <mergeCell ref="M73:Q73"/>
    <mergeCell ref="R73:W73"/>
    <mergeCell ref="M74:Q74"/>
    <mergeCell ref="R74:W74"/>
    <mergeCell ref="M69:Q69"/>
    <mergeCell ref="R69:W69"/>
    <mergeCell ref="M70:Q70"/>
    <mergeCell ref="R70:W70"/>
    <mergeCell ref="M71:Q71"/>
    <mergeCell ref="R71:W71"/>
    <mergeCell ref="M66:Q66"/>
    <mergeCell ref="R66:W66"/>
    <mergeCell ref="M67:Q67"/>
    <mergeCell ref="R67:W67"/>
    <mergeCell ref="M68:Q68"/>
    <mergeCell ref="R68:W68"/>
    <mergeCell ref="M63:Q63"/>
    <mergeCell ref="R63:W63"/>
    <mergeCell ref="M64:Q64"/>
    <mergeCell ref="R64:W64"/>
    <mergeCell ref="M65:Q65"/>
    <mergeCell ref="R65:W65"/>
    <mergeCell ref="M60:Q60"/>
    <mergeCell ref="R60:W60"/>
    <mergeCell ref="M61:Q61"/>
    <mergeCell ref="R61:W61"/>
    <mergeCell ref="M62:Q62"/>
    <mergeCell ref="R62:W62"/>
    <mergeCell ref="M57:Q57"/>
    <mergeCell ref="R57:W57"/>
    <mergeCell ref="M58:Q58"/>
    <mergeCell ref="R58:W58"/>
    <mergeCell ref="M59:Q59"/>
    <mergeCell ref="R59:W59"/>
    <mergeCell ref="M54:Q54"/>
    <mergeCell ref="R54:W54"/>
    <mergeCell ref="M55:Q55"/>
    <mergeCell ref="R55:W55"/>
    <mergeCell ref="M56:Q56"/>
    <mergeCell ref="R56:W56"/>
    <mergeCell ref="M51:Q51"/>
    <mergeCell ref="R51:W51"/>
    <mergeCell ref="M52:Q52"/>
    <mergeCell ref="R52:W52"/>
    <mergeCell ref="M53:Q53"/>
    <mergeCell ref="R53:W53"/>
    <mergeCell ref="B80:F80"/>
    <mergeCell ref="G80:L80"/>
    <mergeCell ref="B81:F81"/>
    <mergeCell ref="G81:L81"/>
    <mergeCell ref="B82:F82"/>
    <mergeCell ref="G82:L82"/>
    <mergeCell ref="B77:F77"/>
    <mergeCell ref="G77:L77"/>
    <mergeCell ref="B78:F78"/>
    <mergeCell ref="G78:L78"/>
    <mergeCell ref="B79:F79"/>
    <mergeCell ref="G79:L79"/>
    <mergeCell ref="B74:F74"/>
    <mergeCell ref="G74:L74"/>
    <mergeCell ref="B75:F75"/>
    <mergeCell ref="G75:L75"/>
    <mergeCell ref="B76:F76"/>
    <mergeCell ref="G76:L76"/>
    <mergeCell ref="B71:F71"/>
    <mergeCell ref="G71:L71"/>
    <mergeCell ref="B72:F72"/>
    <mergeCell ref="G72:L72"/>
    <mergeCell ref="B73:F73"/>
    <mergeCell ref="G73:L73"/>
    <mergeCell ref="B68:F68"/>
    <mergeCell ref="G68:L68"/>
    <mergeCell ref="B69:F69"/>
    <mergeCell ref="G69:L69"/>
    <mergeCell ref="B70:F70"/>
    <mergeCell ref="G70:L70"/>
    <mergeCell ref="B65:F65"/>
    <mergeCell ref="G65:L65"/>
    <mergeCell ref="B66:F66"/>
    <mergeCell ref="G66:L66"/>
    <mergeCell ref="B67:F67"/>
    <mergeCell ref="G67:L67"/>
    <mergeCell ref="B62:F62"/>
    <mergeCell ref="G62:L62"/>
    <mergeCell ref="B63:F63"/>
    <mergeCell ref="G63:L63"/>
    <mergeCell ref="B64:F64"/>
    <mergeCell ref="G64:L64"/>
    <mergeCell ref="B59:F59"/>
    <mergeCell ref="G59:L59"/>
    <mergeCell ref="B60:F60"/>
    <mergeCell ref="G60:L60"/>
    <mergeCell ref="B61:F61"/>
    <mergeCell ref="G61:L61"/>
    <mergeCell ref="B56:F56"/>
    <mergeCell ref="G56:L56"/>
    <mergeCell ref="B57:F57"/>
    <mergeCell ref="G57:L57"/>
    <mergeCell ref="B58:F58"/>
    <mergeCell ref="G58:L58"/>
    <mergeCell ref="B53:F53"/>
    <mergeCell ref="G53:L53"/>
    <mergeCell ref="B54:F54"/>
    <mergeCell ref="G54:L54"/>
    <mergeCell ref="B55:F55"/>
    <mergeCell ref="G55:L55"/>
    <mergeCell ref="A50:L50"/>
    <mergeCell ref="B51:F51"/>
    <mergeCell ref="G51:L51"/>
    <mergeCell ref="B52:F52"/>
    <mergeCell ref="G52:L52"/>
    <mergeCell ref="J29:K29"/>
    <mergeCell ref="J30:K30"/>
    <mergeCell ref="J31:K31"/>
    <mergeCell ref="J32:K32"/>
    <mergeCell ref="J38:K38"/>
    <mergeCell ref="J33:K33"/>
    <mergeCell ref="J34:K34"/>
    <mergeCell ref="J35:K35"/>
    <mergeCell ref="J36:K36"/>
    <mergeCell ref="J37:K37"/>
    <mergeCell ref="J24:K24"/>
    <mergeCell ref="J25:K25"/>
    <mergeCell ref="J26:K26"/>
    <mergeCell ref="J27:K27"/>
    <mergeCell ref="J28:K28"/>
    <mergeCell ref="A1:B1"/>
    <mergeCell ref="E1:E2"/>
    <mergeCell ref="A2:B2"/>
    <mergeCell ref="A3:B3"/>
    <mergeCell ref="J6:K6"/>
    <mergeCell ref="J4:L4"/>
    <mergeCell ref="A5:B5"/>
    <mergeCell ref="C5:D5"/>
    <mergeCell ref="E5:F5"/>
    <mergeCell ref="G5:H5"/>
    <mergeCell ref="J5:L5"/>
    <mergeCell ref="C1:D1"/>
    <mergeCell ref="C2:D2"/>
    <mergeCell ref="C3:D3"/>
    <mergeCell ref="F1:H2"/>
    <mergeCell ref="F3:H3"/>
    <mergeCell ref="J9:K9"/>
    <mergeCell ref="J10:K10"/>
    <mergeCell ref="A4:B4"/>
    <mergeCell ref="C4:D4"/>
    <mergeCell ref="F4:H4"/>
    <mergeCell ref="J8:K8"/>
    <mergeCell ref="J7:K7"/>
    <mergeCell ref="J11:K11"/>
    <mergeCell ref="J12:K12"/>
    <mergeCell ref="J14:K14"/>
    <mergeCell ref="J15:K15"/>
    <mergeCell ref="J16:K16"/>
    <mergeCell ref="J13:K13"/>
    <mergeCell ref="C44:G44"/>
    <mergeCell ref="J44:L44"/>
    <mergeCell ref="C46:G46"/>
    <mergeCell ref="J46:L46"/>
    <mergeCell ref="J17:K17"/>
    <mergeCell ref="J18:K18"/>
    <mergeCell ref="C42:G42"/>
    <mergeCell ref="C43:G43"/>
    <mergeCell ref="J43:L43"/>
    <mergeCell ref="J42:L42"/>
    <mergeCell ref="C45:G45"/>
    <mergeCell ref="J19:K19"/>
    <mergeCell ref="J20:K20"/>
    <mergeCell ref="J21:K21"/>
    <mergeCell ref="J22:K22"/>
    <mergeCell ref="J23:K23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514350</xdr:colOff>
                    <xdr:row>0</xdr:row>
                    <xdr:rowOff>19050</xdr:rowOff>
                  </from>
                  <to>
                    <xdr:col>14</xdr:col>
                    <xdr:colOff>504825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FF8D4-2161-4373-A28F-66D85F396F98}">
  <sheetPr codeName="Sheet2"/>
  <dimension ref="A1:AD82"/>
  <sheetViews>
    <sheetView tabSelected="1" topLeftCell="A25" workbookViewId="0">
      <selection activeCell="B8" sqref="B8"/>
    </sheetView>
  </sheetViews>
  <sheetFormatPr defaultRowHeight="16.5"/>
  <cols>
    <col min="1" max="1" width="6.875" customWidth="1"/>
    <col min="2" max="2" width="29.375" bestFit="1" customWidth="1"/>
    <col min="3" max="3" width="28.625" customWidth="1"/>
    <col min="4" max="4" width="6.875" customWidth="1"/>
    <col min="5" max="5" width="13.375" customWidth="1"/>
    <col min="6" max="6" width="7.125" customWidth="1"/>
    <col min="7" max="7" width="3.625" bestFit="1" customWidth="1"/>
    <col min="8" max="8" width="8" bestFit="1" customWidth="1"/>
    <col min="9" max="9" width="14.125" customWidth="1"/>
    <col min="10" max="10" width="11.875" customWidth="1"/>
    <col min="11" max="11" width="10.375" customWidth="1"/>
    <col min="12" max="12" width="10.75" customWidth="1"/>
    <col min="13" max="13" width="4.25" customWidth="1"/>
    <col min="14" max="14" width="9" style="18"/>
    <col min="15" max="15" width="10.5" customWidth="1"/>
  </cols>
  <sheetData>
    <row r="1" spans="1:30" ht="16.5" customHeight="1">
      <c r="A1" s="124" t="s">
        <v>1</v>
      </c>
      <c r="B1" s="125"/>
      <c r="C1" s="122" t="s">
        <v>38</v>
      </c>
      <c r="D1" s="122"/>
      <c r="E1" s="122" t="s">
        <v>19</v>
      </c>
      <c r="F1" s="141" t="s">
        <v>2</v>
      </c>
      <c r="G1" s="141"/>
      <c r="H1" s="142"/>
      <c r="I1" s="16" t="s">
        <v>3</v>
      </c>
      <c r="J1" s="6" t="s">
        <v>39</v>
      </c>
      <c r="K1" s="11" t="s">
        <v>4</v>
      </c>
      <c r="L1" s="13">
        <v>43755</v>
      </c>
      <c r="M1" s="34"/>
    </row>
    <row r="2" spans="1:30" ht="16.5" customHeight="1">
      <c r="A2" s="126" t="s">
        <v>5</v>
      </c>
      <c r="B2" s="127"/>
      <c r="C2" s="122"/>
      <c r="D2" s="122"/>
      <c r="E2" s="122"/>
      <c r="F2" s="143"/>
      <c r="G2" s="143"/>
      <c r="H2" s="144"/>
      <c r="I2" s="1" t="s">
        <v>6</v>
      </c>
      <c r="J2" s="6"/>
      <c r="K2" s="15" t="s">
        <v>7</v>
      </c>
      <c r="L2" s="13"/>
      <c r="M2" s="34"/>
    </row>
    <row r="3" spans="1:30">
      <c r="A3" s="128" t="s">
        <v>0</v>
      </c>
      <c r="B3" s="129"/>
      <c r="C3" s="139"/>
      <c r="D3" s="140"/>
      <c r="E3" s="23" t="s">
        <v>8</v>
      </c>
      <c r="F3" s="145" t="s">
        <v>29</v>
      </c>
      <c r="G3" s="145"/>
      <c r="H3" s="145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EMPLOYEES ;</v>
      </c>
    </row>
    <row r="4" spans="1:30" ht="16.5" customHeight="1">
      <c r="A4" s="122" t="s">
        <v>12</v>
      </c>
      <c r="B4" s="122"/>
      <c r="C4" s="122"/>
      <c r="D4" s="122"/>
      <c r="E4" s="6" t="s">
        <v>13</v>
      </c>
      <c r="F4" s="123" t="s">
        <v>56</v>
      </c>
      <c r="G4" s="123"/>
      <c r="H4" s="123"/>
      <c r="I4" s="55" t="s">
        <v>14</v>
      </c>
      <c r="J4" s="132" t="s">
        <v>57</v>
      </c>
      <c r="K4" s="133"/>
      <c r="L4" s="134"/>
      <c r="M4" s="36"/>
      <c r="N4" s="20"/>
      <c r="O4" s="17"/>
    </row>
    <row r="5" spans="1:30" ht="16.5" customHeight="1">
      <c r="A5" s="135" t="s">
        <v>31</v>
      </c>
      <c r="B5" s="136"/>
      <c r="C5" s="135"/>
      <c r="D5" s="136"/>
      <c r="E5" s="137" t="s">
        <v>33</v>
      </c>
      <c r="F5" s="138"/>
      <c r="G5" s="132" t="s">
        <v>34</v>
      </c>
      <c r="H5" s="134"/>
      <c r="I5" s="55" t="s">
        <v>32</v>
      </c>
      <c r="J5" s="132"/>
      <c r="K5" s="133"/>
      <c r="L5" s="134"/>
      <c r="M5" s="36"/>
      <c r="N5" s="20"/>
      <c r="O5" s="17"/>
    </row>
    <row r="6" spans="1:30" s="3" customFormat="1" ht="13.5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0" t="s">
        <v>37</v>
      </c>
      <c r="K6" s="131"/>
      <c r="L6" s="107" t="s">
        <v>26</v>
      </c>
      <c r="M6" s="37"/>
      <c r="N6" s="19" t="str">
        <f>CONCATENATE("CREATE TABLE ",$F$4," (")</f>
        <v>CREATE TABLE EMPLOYEES (</v>
      </c>
      <c r="O6" s="8"/>
      <c r="Q6" s="32"/>
      <c r="R6" s="32"/>
      <c r="S6" s="32"/>
      <c r="T6" s="32"/>
      <c r="U6" s="32" t="str">
        <f>CONCATENATE( "COMMENT ON TABLE ",$F$4," IS '", $J$4,"' ;")</f>
        <v>COMMENT ON TABLE EMPLOYEES IS '직원' ;</v>
      </c>
      <c r="V6" s="32"/>
      <c r="W6" s="32"/>
      <c r="X6" s="32"/>
      <c r="Y6" s="32"/>
      <c r="Z6" s="32"/>
      <c r="AA6" s="32"/>
      <c r="AB6" s="32"/>
      <c r="AC6" s="32"/>
      <c r="AD6" s="32"/>
    </row>
    <row r="7" spans="1:30" s="27" customFormat="1" ht="13.5" customHeight="1">
      <c r="A7" s="104">
        <v>1</v>
      </c>
      <c r="B7" s="59" t="s">
        <v>94</v>
      </c>
      <c r="C7" s="59" t="s">
        <v>48</v>
      </c>
      <c r="D7" s="60" t="s">
        <v>58</v>
      </c>
      <c r="E7" s="59" t="s">
        <v>45</v>
      </c>
      <c r="F7" s="59">
        <v>5</v>
      </c>
      <c r="G7" s="95" t="s">
        <v>25</v>
      </c>
      <c r="H7" s="95"/>
      <c r="I7" s="96"/>
      <c r="J7" s="115"/>
      <c r="K7" s="115"/>
      <c r="L7" s="97"/>
      <c r="M7" s="28"/>
      <c r="N7" s="19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EmployeeID                     CHAR (5)   NOT NULL  ,</v>
      </c>
      <c r="O7" s="28"/>
      <c r="U7" s="32" t="str">
        <f t="shared" ref="U7:U35" si="0">CONCATENATE( "COMMENT ON COLUMN ",$F$4,".",B7," IS '", C7, IF(LEN(J7) = 0, "",CONCATENATE("  ( ",J7, " )")),"' ;")</f>
        <v>COMMENT ON COLUMN EMPLOYEES.EmployeeID IS '직원ID' ;</v>
      </c>
    </row>
    <row r="8" spans="1:30" s="3" customFormat="1" ht="14.25">
      <c r="A8" s="104">
        <v>2</v>
      </c>
      <c r="B8" s="59" t="s">
        <v>78</v>
      </c>
      <c r="C8" s="59" t="s">
        <v>49</v>
      </c>
      <c r="D8" s="60" t="s">
        <v>58</v>
      </c>
      <c r="E8" s="59" t="s">
        <v>60</v>
      </c>
      <c r="F8" s="61">
        <v>30</v>
      </c>
      <c r="G8" s="95"/>
      <c r="H8" s="98"/>
      <c r="I8" s="59"/>
      <c r="J8" s="115"/>
      <c r="K8" s="115"/>
      <c r="L8" s="99"/>
      <c r="M8" s="8"/>
      <c r="N8" s="19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Name                           VARCHAR (30)   NOT NULL  ,</v>
      </c>
      <c r="O8" s="8"/>
      <c r="U8" s="32" t="str">
        <f>CONCATENATE( "COMMENT ON COLUMN ",$F$4,".",B8," IS '", C8, IF(LEN(J8) = 0, "",CONCATENATE("  ( ",J8, " )")),"' ;")</f>
        <v>COMMENT ON COLUMN EMPLOYEES.Name IS '이름' ;</v>
      </c>
    </row>
    <row r="9" spans="1:30" s="27" customFormat="1" ht="14.25">
      <c r="A9" s="104">
        <v>3</v>
      </c>
      <c r="B9" s="61" t="s">
        <v>79</v>
      </c>
      <c r="C9" s="62" t="s">
        <v>50</v>
      </c>
      <c r="D9" s="60"/>
      <c r="E9" s="59" t="s">
        <v>60</v>
      </c>
      <c r="F9" s="61">
        <v>14</v>
      </c>
      <c r="G9" s="95"/>
      <c r="H9" s="95"/>
      <c r="I9" s="96"/>
      <c r="J9" s="115"/>
      <c r="K9" s="115"/>
      <c r="L9" s="97"/>
      <c r="M9" s="28"/>
      <c r="N9" s="19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Phone                          VARCHAR (14)    ,</v>
      </c>
      <c r="O9" s="28"/>
      <c r="U9" s="32" t="str">
        <f t="shared" si="0"/>
        <v>COMMENT ON COLUMN EMPLOYEES.Phone IS '핸드폰' ;</v>
      </c>
    </row>
    <row r="10" spans="1:30" s="27" customFormat="1" ht="14.25">
      <c r="A10" s="104">
        <v>4</v>
      </c>
      <c r="B10" s="61" t="s">
        <v>80</v>
      </c>
      <c r="C10" s="62" t="s">
        <v>51</v>
      </c>
      <c r="D10" s="60"/>
      <c r="E10" s="59" t="s">
        <v>60</v>
      </c>
      <c r="F10" s="61">
        <v>30</v>
      </c>
      <c r="G10" s="95"/>
      <c r="H10" s="95"/>
      <c r="I10" s="96"/>
      <c r="J10" s="115"/>
      <c r="K10" s="115"/>
      <c r="L10" s="97"/>
      <c r="M10" s="28"/>
      <c r="N10" s="19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Email                          VARCHAR (30)    ,</v>
      </c>
      <c r="O10" s="28"/>
      <c r="U10" s="32" t="str">
        <f t="shared" si="0"/>
        <v>COMMENT ON COLUMN EMPLOYEES.Email IS '이메일' ;</v>
      </c>
    </row>
    <row r="11" spans="1:30" s="27" customFormat="1" ht="14.25">
      <c r="A11" s="104">
        <v>5</v>
      </c>
      <c r="B11" s="61" t="s">
        <v>81</v>
      </c>
      <c r="C11" s="62" t="s">
        <v>52</v>
      </c>
      <c r="D11" s="60"/>
      <c r="E11" s="59" t="s">
        <v>60</v>
      </c>
      <c r="F11" s="61">
        <v>50</v>
      </c>
      <c r="G11" s="95"/>
      <c r="H11" s="95"/>
      <c r="I11" s="96"/>
      <c r="J11" s="115"/>
      <c r="K11" s="115"/>
      <c r="L11" s="97"/>
      <c r="M11" s="28"/>
      <c r="N11" s="19" t="str">
        <f t="shared" si="1"/>
        <v>Addr                           VARCHAR (50)    ,</v>
      </c>
      <c r="O11" s="28"/>
      <c r="U11" s="32" t="str">
        <f t="shared" si="0"/>
        <v>COMMENT ON COLUMN EMPLOYEES.Addr IS '주소' ;</v>
      </c>
    </row>
    <row r="12" spans="1:30" s="27" customFormat="1" ht="19.5" customHeight="1">
      <c r="A12" s="104">
        <v>6</v>
      </c>
      <c r="B12" s="63" t="s">
        <v>82</v>
      </c>
      <c r="C12" s="59" t="s">
        <v>53</v>
      </c>
      <c r="D12" s="60" t="s">
        <v>58</v>
      </c>
      <c r="E12" s="59" t="s">
        <v>60</v>
      </c>
      <c r="F12" s="59">
        <v>10</v>
      </c>
      <c r="G12" s="95"/>
      <c r="H12" s="95"/>
      <c r="I12" s="96"/>
      <c r="J12" s="115" t="s">
        <v>59</v>
      </c>
      <c r="K12" s="115"/>
      <c r="L12" s="97"/>
      <c r="M12" s="28"/>
      <c r="N12" s="19" t="str">
        <f t="shared" si="1"/>
        <v>Authority                      VARCHAR (10)   NOT NULL  ,</v>
      </c>
      <c r="O12" s="28"/>
      <c r="U12" s="32" t="str">
        <f t="shared" si="0"/>
        <v>COMMENT ON COLUMN EMPLOYEES.Authority IS '권한  ( 관리자/ 직원 )' ;</v>
      </c>
    </row>
    <row r="13" spans="1:30" s="27" customFormat="1" ht="14.25">
      <c r="A13" s="104">
        <v>7</v>
      </c>
      <c r="B13" s="61" t="s">
        <v>83</v>
      </c>
      <c r="C13" s="59" t="s">
        <v>54</v>
      </c>
      <c r="D13" s="60" t="s">
        <v>58</v>
      </c>
      <c r="E13" s="59" t="s">
        <v>60</v>
      </c>
      <c r="F13" s="61">
        <v>20</v>
      </c>
      <c r="G13" s="95"/>
      <c r="H13" s="95"/>
      <c r="I13" s="96"/>
      <c r="J13" s="121"/>
      <c r="K13" s="121"/>
      <c r="L13" s="97"/>
      <c r="M13" s="28"/>
      <c r="N13" s="19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ID                             VARCHAR (20)   NOT NULL  ,</v>
      </c>
      <c r="O13" s="28"/>
      <c r="U13" s="32" t="str">
        <f t="shared" si="0"/>
        <v>COMMENT ON COLUMN EMPLOYEES.ID IS '아이디' ;</v>
      </c>
    </row>
    <row r="14" spans="1:30" s="27" customFormat="1" ht="14.25">
      <c r="A14" s="104">
        <v>8</v>
      </c>
      <c r="B14" s="61" t="s">
        <v>84</v>
      </c>
      <c r="C14" s="59" t="s">
        <v>55</v>
      </c>
      <c r="D14" s="60" t="s">
        <v>58</v>
      </c>
      <c r="E14" s="59" t="s">
        <v>60</v>
      </c>
      <c r="F14" s="61">
        <v>20</v>
      </c>
      <c r="G14" s="95"/>
      <c r="H14" s="95"/>
      <c r="I14" s="96"/>
      <c r="J14" s="115"/>
      <c r="K14" s="115"/>
      <c r="L14" s="97"/>
      <c r="M14" s="28"/>
      <c r="N14" s="19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 xml:space="preserve">Password                       VARCHAR (20)   NOT NULL  </v>
      </c>
      <c r="O14" s="28"/>
      <c r="U14" s="32" t="str">
        <f t="shared" si="0"/>
        <v>COMMENT ON COLUMN EMPLOYEES.Password IS '비밀번호' ;</v>
      </c>
    </row>
    <row r="15" spans="1:30" s="27" customFormat="1" ht="14.25">
      <c r="A15" s="104">
        <v>9</v>
      </c>
      <c r="B15" s="61"/>
      <c r="C15" s="61"/>
      <c r="D15" s="61"/>
      <c r="E15" s="61"/>
      <c r="F15" s="61"/>
      <c r="G15" s="95"/>
      <c r="H15" s="95"/>
      <c r="I15" s="100"/>
      <c r="J15" s="115"/>
      <c r="K15" s="115"/>
      <c r="L15" s="97"/>
      <c r="M15" s="28"/>
      <c r="N15" s="19" t="str">
        <f t="shared" si="1"/>
        <v>) Tablespace TS_HEMR_DATA ;</v>
      </c>
      <c r="O15" s="28"/>
      <c r="U15" s="32" t="str">
        <f t="shared" si="0"/>
        <v>COMMENT ON COLUMN EMPLOYEES. IS '' ;</v>
      </c>
    </row>
    <row r="16" spans="1:30" s="27" customFormat="1" ht="14.25">
      <c r="A16" s="104">
        <v>10</v>
      </c>
      <c r="B16" s="101"/>
      <c r="C16" s="101"/>
      <c r="D16" s="95"/>
      <c r="E16" s="95"/>
      <c r="F16" s="95"/>
      <c r="G16" s="95"/>
      <c r="H16" s="95"/>
      <c r="I16" s="96"/>
      <c r="J16" s="115"/>
      <c r="K16" s="115"/>
      <c r="L16" s="97"/>
      <c r="M16" s="28"/>
      <c r="N16" s="19" t="str">
        <f t="shared" si="1"/>
        <v>) Tablespace TS_HEMR_DATA ;</v>
      </c>
      <c r="O16" s="28"/>
      <c r="U16" s="32" t="str">
        <f t="shared" si="0"/>
        <v>COMMENT ON COLUMN EMPLOYEES. IS '' ;</v>
      </c>
    </row>
    <row r="17" spans="1:21" s="3" customFormat="1" ht="14.25">
      <c r="A17" s="104">
        <v>11</v>
      </c>
      <c r="B17" s="101"/>
      <c r="C17" s="101"/>
      <c r="D17" s="59"/>
      <c r="E17" s="95"/>
      <c r="F17" s="95"/>
      <c r="G17" s="95"/>
      <c r="H17" s="95"/>
      <c r="I17" s="96"/>
      <c r="J17" s="115"/>
      <c r="K17" s="115"/>
      <c r="L17" s="97"/>
      <c r="M17" s="8"/>
      <c r="N17" s="19" t="str">
        <f t="shared" si="1"/>
        <v>) Tablespace TS_HEMR_DATA ;</v>
      </c>
      <c r="O17" s="8"/>
      <c r="U17" s="32" t="str">
        <f t="shared" si="0"/>
        <v>COMMENT ON COLUMN EMPLOYEES. IS '' ;</v>
      </c>
    </row>
    <row r="18" spans="1:21" s="3" customFormat="1" ht="14.25">
      <c r="A18" s="104">
        <v>12</v>
      </c>
      <c r="B18" s="101"/>
      <c r="C18" s="101"/>
      <c r="D18" s="59"/>
      <c r="E18" s="95"/>
      <c r="F18" s="95"/>
      <c r="G18" s="95"/>
      <c r="H18" s="95"/>
      <c r="I18" s="96"/>
      <c r="J18" s="115"/>
      <c r="K18" s="115"/>
      <c r="L18" s="97"/>
      <c r="M18" s="8"/>
      <c r="N18" s="19" t="str">
        <f t="shared" si="1"/>
        <v>) Tablespace TS_HEMR_DATA ;</v>
      </c>
      <c r="O18" s="8"/>
      <c r="U18" s="32" t="str">
        <f t="shared" si="0"/>
        <v>COMMENT ON COLUMN EMPLOYEES. IS '' ;</v>
      </c>
    </row>
    <row r="19" spans="1:21" s="3" customFormat="1" ht="14.25">
      <c r="A19" s="104">
        <v>13</v>
      </c>
      <c r="B19" s="101"/>
      <c r="C19" s="101"/>
      <c r="D19" s="62"/>
      <c r="E19" s="95"/>
      <c r="F19" s="95"/>
      <c r="G19" s="95"/>
      <c r="H19" s="95"/>
      <c r="I19" s="96"/>
      <c r="J19" s="121"/>
      <c r="K19" s="121"/>
      <c r="L19" s="97"/>
      <c r="M19" s="8"/>
      <c r="N19" s="19" t="str">
        <f t="shared" si="1"/>
        <v>) Tablespace TS_HEMR_DATA ;</v>
      </c>
      <c r="O19" s="8"/>
      <c r="U19" s="32" t="str">
        <f t="shared" si="0"/>
        <v>COMMENT ON COLUMN EMPLOYEES. IS '' ;</v>
      </c>
    </row>
    <row r="20" spans="1:21" s="3" customFormat="1" ht="14.25">
      <c r="A20" s="104">
        <v>14</v>
      </c>
      <c r="B20" s="101"/>
      <c r="C20" s="101"/>
      <c r="D20" s="62"/>
      <c r="E20" s="95"/>
      <c r="F20" s="95"/>
      <c r="G20" s="95"/>
      <c r="H20" s="95"/>
      <c r="I20" s="96"/>
      <c r="J20" s="115"/>
      <c r="K20" s="115"/>
      <c r="L20" s="97"/>
      <c r="M20" s="8"/>
      <c r="N20" s="19" t="str">
        <f t="shared" si="1"/>
        <v>) Tablespace TS_HEMR_DATA ;</v>
      </c>
      <c r="O20" s="8"/>
      <c r="U20" s="32" t="str">
        <f t="shared" si="0"/>
        <v>COMMENT ON COLUMN EMPLOYEES. IS '' ;</v>
      </c>
    </row>
    <row r="21" spans="1:21" s="3" customFormat="1" ht="14.25">
      <c r="A21" s="104">
        <v>15</v>
      </c>
      <c r="B21" s="101"/>
      <c r="C21" s="101"/>
      <c r="D21" s="62"/>
      <c r="E21" s="95"/>
      <c r="F21" s="95"/>
      <c r="G21" s="95"/>
      <c r="H21" s="95"/>
      <c r="I21" s="96"/>
      <c r="J21" s="115"/>
      <c r="K21" s="115"/>
      <c r="L21" s="97"/>
      <c r="M21" s="8"/>
      <c r="N21" s="19" t="str">
        <f t="shared" si="1"/>
        <v>) Tablespace TS_HEMR_DATA ;</v>
      </c>
      <c r="O21" s="8"/>
      <c r="U21" s="32" t="str">
        <f t="shared" si="0"/>
        <v>COMMENT ON COLUMN EMPLOYEES. IS '' ;</v>
      </c>
    </row>
    <row r="22" spans="1:21" s="3" customFormat="1" ht="14.25">
      <c r="A22" s="104">
        <v>16</v>
      </c>
      <c r="B22" s="101"/>
      <c r="C22" s="101"/>
      <c r="D22" s="59"/>
      <c r="E22" s="95"/>
      <c r="F22" s="95"/>
      <c r="G22" s="95"/>
      <c r="H22" s="95"/>
      <c r="I22" s="96"/>
      <c r="J22" s="115"/>
      <c r="K22" s="115"/>
      <c r="L22" s="97"/>
      <c r="M22" s="8"/>
      <c r="N22" s="19" t="str">
        <f t="shared" si="1"/>
        <v>) Tablespace TS_HEMR_DATA ;</v>
      </c>
      <c r="O22" s="8"/>
      <c r="U22" s="32" t="str">
        <f t="shared" si="0"/>
        <v>COMMENT ON COLUMN EMPLOYEES. IS '' ;</v>
      </c>
    </row>
    <row r="23" spans="1:21" s="3" customFormat="1" ht="13.5" customHeight="1">
      <c r="A23" s="104">
        <v>17</v>
      </c>
      <c r="B23" s="101"/>
      <c r="C23" s="101"/>
      <c r="D23" s="59"/>
      <c r="E23" s="95"/>
      <c r="F23" s="95"/>
      <c r="G23" s="95"/>
      <c r="H23" s="95"/>
      <c r="I23" s="96"/>
      <c r="J23" s="115"/>
      <c r="K23" s="115"/>
      <c r="L23" s="97"/>
      <c r="M23" s="8"/>
      <c r="N23" s="19" t="str">
        <f t="shared" si="1"/>
        <v>) Tablespace TS_HEMR_DATA ;</v>
      </c>
      <c r="O23" s="8"/>
      <c r="U23" s="32" t="str">
        <f t="shared" si="0"/>
        <v>COMMENT ON COLUMN EMPLOYEES. IS '' ;</v>
      </c>
    </row>
    <row r="24" spans="1:21" s="3" customFormat="1" ht="14.25">
      <c r="A24" s="104">
        <v>18</v>
      </c>
      <c r="B24" s="101"/>
      <c r="C24" s="101"/>
      <c r="D24" s="59"/>
      <c r="E24" s="95"/>
      <c r="F24" s="95"/>
      <c r="G24" s="95"/>
      <c r="H24" s="95"/>
      <c r="I24" s="96"/>
      <c r="J24" s="115"/>
      <c r="K24" s="115"/>
      <c r="L24" s="97"/>
      <c r="M24" s="8"/>
      <c r="N24" s="19" t="str">
        <f t="shared" si="1"/>
        <v>) Tablespace TS_HEMR_DATA ;</v>
      </c>
      <c r="O24" s="8"/>
      <c r="U24" s="32" t="str">
        <f t="shared" si="0"/>
        <v>COMMENT ON COLUMN EMPLOYEES. IS '' ;</v>
      </c>
    </row>
    <row r="25" spans="1:21" s="3" customFormat="1" ht="13.5" customHeight="1">
      <c r="A25" s="104">
        <v>19</v>
      </c>
      <c r="B25" s="101"/>
      <c r="C25" s="101"/>
      <c r="D25" s="95"/>
      <c r="E25" s="95"/>
      <c r="F25" s="95"/>
      <c r="G25" s="95"/>
      <c r="H25" s="95"/>
      <c r="I25" s="96"/>
      <c r="J25" s="115"/>
      <c r="K25" s="115"/>
      <c r="L25" s="97"/>
      <c r="M25" s="8"/>
      <c r="N25" s="19" t="str">
        <f t="shared" si="1"/>
        <v>) Tablespace TS_HEMR_DATA ;</v>
      </c>
      <c r="O25" s="8"/>
      <c r="U25" s="32" t="str">
        <f t="shared" si="0"/>
        <v>COMMENT ON COLUMN EMPLOYEES. IS '' ;</v>
      </c>
    </row>
    <row r="26" spans="1:21" s="3" customFormat="1" ht="14.25">
      <c r="A26" s="104">
        <v>20</v>
      </c>
      <c r="B26" s="101"/>
      <c r="C26" s="101"/>
      <c r="D26" s="95"/>
      <c r="E26" s="95"/>
      <c r="F26" s="95"/>
      <c r="G26" s="95"/>
      <c r="H26" s="95"/>
      <c r="I26" s="96"/>
      <c r="J26" s="115"/>
      <c r="K26" s="115"/>
      <c r="L26" s="97"/>
      <c r="M26" s="8"/>
      <c r="N26" s="19" t="str">
        <f t="shared" si="1"/>
        <v>) Tablespace TS_HEMR_DATA ;</v>
      </c>
      <c r="O26" s="8"/>
      <c r="U26" s="32" t="str">
        <f t="shared" si="0"/>
        <v>COMMENT ON COLUMN EMPLOYEES. IS '' ;</v>
      </c>
    </row>
    <row r="27" spans="1:21" s="3" customFormat="1" ht="14.25">
      <c r="A27" s="104">
        <v>21</v>
      </c>
      <c r="B27" s="101"/>
      <c r="C27" s="101"/>
      <c r="D27" s="95"/>
      <c r="E27" s="95"/>
      <c r="F27" s="95"/>
      <c r="G27" s="95"/>
      <c r="H27" s="95"/>
      <c r="I27" s="96"/>
      <c r="J27" s="115"/>
      <c r="K27" s="115"/>
      <c r="L27" s="97"/>
      <c r="M27" s="8"/>
      <c r="N27" s="19" t="str">
        <f t="shared" si="1"/>
        <v>) Tablespace TS_HEMR_DATA ;</v>
      </c>
      <c r="O27" s="8"/>
      <c r="U27" s="32" t="str">
        <f t="shared" si="0"/>
        <v>COMMENT ON COLUMN EMPLOYEES. IS '' ;</v>
      </c>
    </row>
    <row r="28" spans="1:21" s="3" customFormat="1" ht="14.25">
      <c r="A28" s="104">
        <v>22</v>
      </c>
      <c r="B28" s="101"/>
      <c r="C28" s="101"/>
      <c r="D28" s="95"/>
      <c r="E28" s="95"/>
      <c r="F28" s="95"/>
      <c r="G28" s="95"/>
      <c r="H28" s="95"/>
      <c r="I28" s="96"/>
      <c r="J28" s="115"/>
      <c r="K28" s="115"/>
      <c r="L28" s="97"/>
      <c r="M28" s="8"/>
      <c r="N28" s="19" t="str">
        <f t="shared" si="1"/>
        <v>) Tablespace TS_HEMR_DATA ;</v>
      </c>
      <c r="O28" s="8"/>
      <c r="U28" s="32" t="str">
        <f t="shared" si="0"/>
        <v>COMMENT ON COLUMN EMPLOYEES. IS '' ;</v>
      </c>
    </row>
    <row r="29" spans="1:21" s="3" customFormat="1" ht="14.25">
      <c r="A29" s="104">
        <v>23</v>
      </c>
      <c r="B29" s="101"/>
      <c r="C29" s="101"/>
      <c r="D29" s="95"/>
      <c r="E29" s="95"/>
      <c r="F29" s="95"/>
      <c r="G29" s="95"/>
      <c r="H29" s="95"/>
      <c r="I29" s="96"/>
      <c r="J29" s="115"/>
      <c r="K29" s="115"/>
      <c r="L29" s="97"/>
      <c r="M29" s="8"/>
      <c r="N29" s="19" t="str">
        <f t="shared" si="1"/>
        <v>) Tablespace TS_HEMR_DATA ;</v>
      </c>
      <c r="O29" s="8"/>
      <c r="U29" s="32" t="str">
        <f t="shared" si="0"/>
        <v>COMMENT ON COLUMN EMPLOYEES. IS '' ;</v>
      </c>
    </row>
    <row r="30" spans="1:21" s="3" customFormat="1" ht="14.25">
      <c r="A30" s="104">
        <v>24</v>
      </c>
      <c r="B30" s="101"/>
      <c r="C30" s="101"/>
      <c r="D30" s="95"/>
      <c r="E30" s="95"/>
      <c r="F30" s="95"/>
      <c r="G30" s="95"/>
      <c r="H30" s="95"/>
      <c r="I30" s="96"/>
      <c r="J30" s="115"/>
      <c r="K30" s="115"/>
      <c r="L30" s="97"/>
      <c r="M30" s="8"/>
      <c r="N30" s="19" t="str">
        <f t="shared" si="1"/>
        <v>) Tablespace TS_HEMR_DATA ;</v>
      </c>
      <c r="O30" s="8"/>
      <c r="U30" s="32" t="str">
        <f t="shared" si="0"/>
        <v>COMMENT ON COLUMN EMPLOYEES. IS '' ;</v>
      </c>
    </row>
    <row r="31" spans="1:21" s="3" customFormat="1" ht="14.25">
      <c r="A31" s="104">
        <v>25</v>
      </c>
      <c r="B31" s="101"/>
      <c r="C31" s="101"/>
      <c r="D31" s="95"/>
      <c r="E31" s="95"/>
      <c r="F31" s="95"/>
      <c r="G31" s="95"/>
      <c r="H31" s="95"/>
      <c r="I31" s="96"/>
      <c r="J31" s="115"/>
      <c r="K31" s="115"/>
      <c r="L31" s="97"/>
      <c r="M31" s="8"/>
      <c r="N31" s="19" t="str">
        <f t="shared" si="1"/>
        <v>) Tablespace TS_HEMR_DATA ;</v>
      </c>
      <c r="O31" s="8"/>
      <c r="U31" s="32" t="str">
        <f t="shared" si="0"/>
        <v>COMMENT ON COLUMN EMPLOYEES. IS '' ;</v>
      </c>
    </row>
    <row r="32" spans="1:21" s="3" customFormat="1" ht="14.25">
      <c r="A32" s="104">
        <v>26</v>
      </c>
      <c r="B32" s="101"/>
      <c r="C32" s="101"/>
      <c r="D32" s="95"/>
      <c r="E32" s="95"/>
      <c r="F32" s="95"/>
      <c r="G32" s="95"/>
      <c r="H32" s="95"/>
      <c r="I32" s="96"/>
      <c r="J32" s="115"/>
      <c r="K32" s="115"/>
      <c r="L32" s="97"/>
      <c r="M32" s="8"/>
      <c r="N32" s="19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8"/>
      <c r="U32" s="32" t="str">
        <f t="shared" si="0"/>
        <v>COMMENT ON COLUMN EMPLOYEES. IS '' ;</v>
      </c>
    </row>
    <row r="33" spans="1:21" s="3" customFormat="1" ht="14.25">
      <c r="A33" s="104">
        <v>27</v>
      </c>
      <c r="B33" s="101"/>
      <c r="C33" s="101"/>
      <c r="D33" s="95"/>
      <c r="E33" s="95"/>
      <c r="F33" s="95"/>
      <c r="G33" s="95"/>
      <c r="H33" s="95"/>
      <c r="I33" s="96"/>
      <c r="J33" s="115"/>
      <c r="K33" s="115"/>
      <c r="L33" s="97"/>
      <c r="M33" s="8"/>
      <c r="N33" s="19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8"/>
      <c r="U33" s="32" t="str">
        <f t="shared" si="0"/>
        <v>COMMENT ON COLUMN EMPLOYEES. IS '' ;</v>
      </c>
    </row>
    <row r="34" spans="1:21" s="3" customFormat="1" ht="14.25">
      <c r="A34" s="104">
        <v>28</v>
      </c>
      <c r="B34" s="101"/>
      <c r="C34" s="101"/>
      <c r="D34" s="95"/>
      <c r="E34" s="95"/>
      <c r="F34" s="95"/>
      <c r="G34" s="95"/>
      <c r="H34" s="95"/>
      <c r="I34" s="96"/>
      <c r="J34" s="115"/>
      <c r="K34" s="115"/>
      <c r="L34" s="97"/>
      <c r="M34" s="8"/>
      <c r="N34" s="19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8"/>
      <c r="U34" s="32" t="str">
        <f t="shared" si="0"/>
        <v>COMMENT ON COLUMN EMPLOYEES. IS '' ;</v>
      </c>
    </row>
    <row r="35" spans="1:21" s="3" customFormat="1" ht="14.25">
      <c r="A35" s="109">
        <v>29</v>
      </c>
      <c r="B35" s="101"/>
      <c r="C35" s="101"/>
      <c r="D35" s="95"/>
      <c r="E35" s="95"/>
      <c r="F35" s="95"/>
      <c r="G35" s="95"/>
      <c r="H35" s="95"/>
      <c r="I35" s="96"/>
      <c r="J35" s="115"/>
      <c r="K35" s="115"/>
      <c r="L35" s="97"/>
      <c r="M35" s="8"/>
      <c r="N35" s="19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8"/>
      <c r="U35" s="32" t="str">
        <f t="shared" si="0"/>
        <v>COMMENT ON COLUMN EMPLOYEES. IS '' ;</v>
      </c>
    </row>
    <row r="36" spans="1:21" s="3" customFormat="1" ht="14.25">
      <c r="A36" s="104">
        <v>30</v>
      </c>
      <c r="B36" s="101"/>
      <c r="C36" s="101"/>
      <c r="D36" s="95"/>
      <c r="E36" s="95"/>
      <c r="F36" s="95"/>
      <c r="G36" s="95"/>
      <c r="H36" s="95"/>
      <c r="I36" s="96"/>
      <c r="J36" s="115"/>
      <c r="K36" s="115"/>
      <c r="L36" s="97"/>
      <c r="M36" s="8"/>
      <c r="N36" s="19"/>
      <c r="O36" s="8"/>
      <c r="U36" s="32"/>
    </row>
    <row r="37" spans="1:21" s="3" customFormat="1" ht="14.25">
      <c r="A37" s="104">
        <v>31</v>
      </c>
      <c r="B37" s="101"/>
      <c r="C37" s="101"/>
      <c r="D37" s="95"/>
      <c r="E37" s="95"/>
      <c r="F37" s="95"/>
      <c r="G37" s="95"/>
      <c r="H37" s="95"/>
      <c r="I37" s="96"/>
      <c r="J37" s="115"/>
      <c r="K37" s="115"/>
      <c r="L37" s="97"/>
      <c r="M37" s="8"/>
      <c r="N37" s="19"/>
      <c r="O37" s="8"/>
      <c r="U37" s="32"/>
    </row>
    <row r="38" spans="1:21" s="3" customFormat="1" ht="13.5">
      <c r="A38" s="40"/>
      <c r="B38" s="41"/>
      <c r="C38" s="41"/>
      <c r="D38" s="43"/>
      <c r="E38" s="43"/>
      <c r="F38" s="43"/>
      <c r="G38" s="50"/>
      <c r="H38" s="43"/>
      <c r="I38" s="44"/>
      <c r="J38" s="146"/>
      <c r="K38" s="146"/>
      <c r="L38" s="28"/>
      <c r="M38" s="8"/>
      <c r="N38" s="19"/>
      <c r="O38" s="8"/>
      <c r="U38" s="32"/>
    </row>
    <row r="39" spans="1:21" s="3" customFormat="1" ht="13.5">
      <c r="A39" s="42"/>
      <c r="B39" s="41"/>
      <c r="C39" s="41"/>
      <c r="D39" s="43"/>
      <c r="E39" s="43"/>
      <c r="F39" s="43"/>
      <c r="G39" s="43"/>
      <c r="H39" s="43"/>
      <c r="I39" s="44"/>
      <c r="J39" s="56"/>
      <c r="K39" s="56"/>
      <c r="L39" s="28"/>
      <c r="M39" s="8"/>
      <c r="N39" s="19" t="s">
        <v>36</v>
      </c>
      <c r="O39" s="8"/>
      <c r="U39" s="32"/>
    </row>
    <row r="40" spans="1:21" s="3" customFormat="1" ht="13.5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1" s="3" customFormat="1" ht="13.5">
      <c r="A41" s="40"/>
      <c r="B41" s="26"/>
      <c r="C41" s="26"/>
      <c r="D41" s="25"/>
      <c r="E41" s="25"/>
      <c r="F41" s="25"/>
      <c r="G41" s="25"/>
      <c r="H41" s="25"/>
      <c r="I41" s="26"/>
      <c r="J41" s="56"/>
      <c r="K41" s="56"/>
      <c r="L41" s="8"/>
      <c r="M41" s="8"/>
      <c r="N41" s="22"/>
      <c r="O41" s="8"/>
    </row>
    <row r="42" spans="1:21" s="2" customFormat="1" ht="13.5">
      <c r="A42" s="54" t="s">
        <v>11</v>
      </c>
      <c r="B42" s="54" t="s">
        <v>30</v>
      </c>
      <c r="C42" s="116" t="s">
        <v>15</v>
      </c>
      <c r="D42" s="116"/>
      <c r="E42" s="116"/>
      <c r="F42" s="116"/>
      <c r="G42" s="116"/>
      <c r="H42" s="54" t="s">
        <v>27</v>
      </c>
      <c r="I42" s="54" t="s">
        <v>17</v>
      </c>
      <c r="J42" s="118" t="s">
        <v>28</v>
      </c>
      <c r="K42" s="119"/>
      <c r="L42" s="120"/>
      <c r="M42" s="38"/>
      <c r="N42" s="21"/>
      <c r="O42" s="4"/>
    </row>
    <row r="43" spans="1:21" s="2" customFormat="1" ht="13.5">
      <c r="A43" s="7">
        <v>1</v>
      </c>
      <c r="B43" s="9"/>
      <c r="C43" s="117"/>
      <c r="D43" s="117"/>
      <c r="E43" s="117"/>
      <c r="F43" s="117"/>
      <c r="G43" s="117"/>
      <c r="H43" s="7"/>
      <c r="I43" s="29"/>
      <c r="J43" s="112"/>
      <c r="K43" s="113"/>
      <c r="L43" s="114"/>
      <c r="M43" s="40"/>
      <c r="N43" s="21" t="str">
        <f>CONCATENATE("CREATE ", IF(H43&lt;&gt;"", "UNIQUE ", ""),"INDEX ", B43, " ON ", $F$4, "( ",C43, " ) " )</f>
        <v xml:space="preserve">CREATE INDEX  ON EMPLOYEES(  ) </v>
      </c>
      <c r="O43" s="4"/>
    </row>
    <row r="44" spans="1:21" s="2" customFormat="1" ht="13.5">
      <c r="A44" s="48">
        <v>2</v>
      </c>
      <c r="B44" s="49"/>
      <c r="C44" s="111"/>
      <c r="D44" s="111"/>
      <c r="E44" s="111"/>
      <c r="F44" s="111"/>
      <c r="G44" s="111"/>
      <c r="H44" s="7"/>
      <c r="I44" s="29"/>
      <c r="J44" s="112"/>
      <c r="K44" s="113"/>
      <c r="L44" s="114"/>
      <c r="M44" s="40"/>
      <c r="N44" s="21" t="str">
        <f t="shared" ref="N44:N46" si="2">CONCATENATE("CREATE ", IF(H44&lt;&gt;"", "UNIQUE ", ""),"INDEX ", B44, " ON ", $F$4, "( ",C44, " ) " )</f>
        <v xml:space="preserve">CREATE INDEX  ON EMPLOYEES(  ) </v>
      </c>
      <c r="O44" s="4"/>
    </row>
    <row r="45" spans="1:21" s="2" customFormat="1" ht="13.5">
      <c r="A45" s="48">
        <v>3</v>
      </c>
      <c r="B45" s="49"/>
      <c r="C45" s="111"/>
      <c r="D45" s="111"/>
      <c r="E45" s="111"/>
      <c r="F45" s="111"/>
      <c r="G45" s="111"/>
      <c r="H45" s="7"/>
      <c r="I45" s="29"/>
      <c r="J45" s="51"/>
      <c r="K45" s="52"/>
      <c r="L45" s="53"/>
      <c r="M45" s="40"/>
      <c r="N45" s="21" t="str">
        <f t="shared" si="2"/>
        <v xml:space="preserve">CREATE INDEX  ON EMPLOYEES(  ) </v>
      </c>
      <c r="O45" s="4"/>
    </row>
    <row r="46" spans="1:21" s="2" customFormat="1" ht="13.5">
      <c r="A46" s="48">
        <v>4</v>
      </c>
      <c r="B46" s="49"/>
      <c r="C46" s="111"/>
      <c r="D46" s="111"/>
      <c r="E46" s="111"/>
      <c r="F46" s="111"/>
      <c r="G46" s="111"/>
      <c r="H46" s="7"/>
      <c r="I46" s="29"/>
      <c r="J46" s="112"/>
      <c r="K46" s="113"/>
      <c r="L46" s="114"/>
      <c r="M46" s="40"/>
      <c r="N46" s="21" t="str">
        <f t="shared" si="2"/>
        <v xml:space="preserve">CREATE INDEX  ON EMPLOYEES(  ) </v>
      </c>
      <c r="O46" s="4"/>
    </row>
    <row r="47" spans="1:21" s="2" customFormat="1" ht="13.5">
      <c r="B47" s="2">
        <f>LEN(B43)</f>
        <v>0</v>
      </c>
      <c r="N47" s="22"/>
    </row>
    <row r="48" spans="1:21" s="2" customFormat="1" ht="13.5">
      <c r="N48" s="22"/>
    </row>
    <row r="49" spans="1:23" s="2" customFormat="1" ht="13.5">
      <c r="N49" s="22"/>
    </row>
    <row r="50" spans="1:23" s="2" customFormat="1" ht="13.5">
      <c r="A50" s="157" t="s">
        <v>116</v>
      </c>
      <c r="B50" s="157"/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7" t="s">
        <v>119</v>
      </c>
      <c r="N50" s="157"/>
      <c r="O50" s="157"/>
      <c r="P50" s="157"/>
      <c r="Q50" s="157"/>
      <c r="R50" s="157"/>
      <c r="S50" s="157"/>
      <c r="T50" s="157"/>
      <c r="U50" s="157"/>
      <c r="V50" s="157"/>
      <c r="W50" s="157"/>
    </row>
    <row r="51" spans="1:23" s="2" customFormat="1">
      <c r="A51" s="158"/>
      <c r="B51" s="162" t="s">
        <v>118</v>
      </c>
      <c r="C51" s="163"/>
      <c r="D51" s="163"/>
      <c r="E51" s="163"/>
      <c r="F51" s="164"/>
      <c r="G51" s="162" t="s">
        <v>120</v>
      </c>
      <c r="H51" s="163"/>
      <c r="I51" s="163"/>
      <c r="J51" s="163"/>
      <c r="K51" s="163"/>
      <c r="L51" s="164"/>
      <c r="M51" s="162" t="s">
        <v>118</v>
      </c>
      <c r="N51" s="163"/>
      <c r="O51" s="163"/>
      <c r="P51" s="163"/>
      <c r="Q51" s="164"/>
      <c r="R51" s="162" t="s">
        <v>117</v>
      </c>
      <c r="S51" s="163"/>
      <c r="T51" s="163"/>
      <c r="U51" s="163"/>
      <c r="V51" s="163"/>
      <c r="W51" s="164"/>
    </row>
    <row r="52" spans="1:23" s="2" customFormat="1" ht="13.5">
      <c r="A52" s="29">
        <v>1</v>
      </c>
      <c r="B52" s="159" t="str">
        <f>IF(AND(COUNTA($G$7:$G$37) = 1, LOWER($G7)="y"),"ALTER TABLE " &amp; $F$4 &amp; " ADD CONSTRAINT " &amp; LOWER("pk_" &amp; $F$4 &amp;"_" &amp; $B7)&amp; " PRIMARY KEY( " &amp; $B7 &amp; ");","")</f>
        <v>ALTER TABLE EMPLOYEES ADD CONSTRAINT pk_employees_employeeid PRIMARY KEY( EmployeeID);</v>
      </c>
      <c r="C52" s="160"/>
      <c r="D52" s="160"/>
      <c r="E52" s="160"/>
      <c r="F52" s="161"/>
      <c r="G52" s="159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60"/>
      <c r="I52" s="160"/>
      <c r="J52" s="160"/>
      <c r="K52" s="160"/>
      <c r="L52" s="161"/>
      <c r="M52" s="159" t="str">
        <f>IF(B52 &lt;&gt; "", IF(AND(COUNTA($G$7:$G$37) = 1, LOWER($G7)="y"),"ALTER TABLE " &amp; $F$4 &amp; " DROP PRIMARY KEY;",""), "")</f>
        <v>ALTER TABLE EMPLOYEES DROP PRIMARY KEY;</v>
      </c>
      <c r="N52" s="160"/>
      <c r="O52" s="160"/>
      <c r="P52" s="160"/>
      <c r="Q52" s="161"/>
      <c r="R52" s="159" t="str">
        <f>IF($H7&lt;&gt;"","ALTER TABLE " &amp; $F$4 &amp; " DROP FOREIGN KEY  `fk_" &amp; LOWER($H7 &amp; "_" &amp; $F$4 &amp; "_" &amp; $B7) &amp; "`;","")</f>
        <v/>
      </c>
      <c r="S52" s="160"/>
      <c r="T52" s="160"/>
      <c r="U52" s="160"/>
      <c r="V52" s="160"/>
      <c r="W52" s="161"/>
    </row>
    <row r="53" spans="1:23" s="2" customFormat="1" ht="13.5">
      <c r="A53" s="29">
        <v>2</v>
      </c>
      <c r="B53" s="159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60"/>
      <c r="D53" s="160"/>
      <c r="E53" s="160"/>
      <c r="F53" s="161"/>
      <c r="G53" s="159" t="str">
        <f>IF($H8&lt;&gt;"","ALTER TABLE " &amp; $F$4 &amp; " ADD CONSTRAINT fk_" &amp; LOWER($H8 &amp; "_" &amp; $F$4 &amp; "_" &amp; $B8) &amp; "  FOREIGN KEY(" &amp; $B8 &amp; " ) REFERENCES " &amp; $H8&amp; "(" &amp; $B8 &amp; ");","")</f>
        <v/>
      </c>
      <c r="H53" s="160"/>
      <c r="I53" s="160"/>
      <c r="J53" s="160"/>
      <c r="K53" s="160"/>
      <c r="L53" s="161"/>
      <c r="M53" s="159" t="str">
        <f t="shared" ref="M53:M82" si="4">IF(B53 &lt;&gt; "", IF(AND(COUNTA($G$7:$G$37) = 1, LOWER($G8)="y"),"ALTER TABLE " &amp; $F$4 &amp; " DROP PRIMARY KEY;",""), "")</f>
        <v/>
      </c>
      <c r="N53" s="160"/>
      <c r="O53" s="160"/>
      <c r="P53" s="160"/>
      <c r="Q53" s="161"/>
      <c r="R53" s="159" t="str">
        <f>IF($H8&lt;&gt;"","ALTER TABLE " &amp; $F$4 &amp; " DROP FOREIGN KEY  `fk_" &amp; LOWER($H8 &amp; "_" &amp; $F$4 &amp; "_" &amp; $B8) &amp; "`;","")</f>
        <v/>
      </c>
      <c r="S53" s="160"/>
      <c r="T53" s="160"/>
      <c r="U53" s="160"/>
      <c r="V53" s="160"/>
      <c r="W53" s="161"/>
    </row>
    <row r="54" spans="1:23" s="2" customFormat="1" ht="13.5">
      <c r="A54" s="29">
        <v>3</v>
      </c>
      <c r="B54" s="159" t="str">
        <f t="shared" si="3"/>
        <v/>
      </c>
      <c r="C54" s="160"/>
      <c r="D54" s="160"/>
      <c r="E54" s="160"/>
      <c r="F54" s="161"/>
      <c r="G54" s="159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/>
      </c>
      <c r="H54" s="160"/>
      <c r="I54" s="160"/>
      <c r="J54" s="160"/>
      <c r="K54" s="160"/>
      <c r="L54" s="161"/>
      <c r="M54" s="159" t="str">
        <f t="shared" si="4"/>
        <v/>
      </c>
      <c r="N54" s="160"/>
      <c r="O54" s="160"/>
      <c r="P54" s="160"/>
      <c r="Q54" s="161"/>
      <c r="R54" s="159" t="str">
        <f t="shared" ref="R54:R82" si="6">IF($H9&lt;&gt;"","ALTER TABLE " &amp; $F$4 &amp; " DROP FOREIGN KEY  `fk_" &amp; LOWER($H9 &amp; "_" &amp; $F$4 &amp; "_" &amp; $B9) &amp; "`;","")</f>
        <v/>
      </c>
      <c r="S54" s="160"/>
      <c r="T54" s="160"/>
      <c r="U54" s="160"/>
      <c r="V54" s="160"/>
      <c r="W54" s="161"/>
    </row>
    <row r="55" spans="1:23" s="2" customFormat="1" ht="13.5">
      <c r="A55" s="29">
        <v>4</v>
      </c>
      <c r="B55" s="159" t="str">
        <f t="shared" si="3"/>
        <v/>
      </c>
      <c r="C55" s="160"/>
      <c r="D55" s="160"/>
      <c r="E55" s="160"/>
      <c r="F55" s="161"/>
      <c r="G55" s="159" t="str">
        <f t="shared" si="5"/>
        <v/>
      </c>
      <c r="H55" s="160"/>
      <c r="I55" s="160"/>
      <c r="J55" s="160"/>
      <c r="K55" s="160"/>
      <c r="L55" s="161"/>
      <c r="M55" s="159" t="str">
        <f t="shared" si="4"/>
        <v/>
      </c>
      <c r="N55" s="160"/>
      <c r="O55" s="160"/>
      <c r="P55" s="160"/>
      <c r="Q55" s="161"/>
      <c r="R55" s="159" t="str">
        <f t="shared" si="6"/>
        <v/>
      </c>
      <c r="S55" s="160"/>
      <c r="T55" s="160"/>
      <c r="U55" s="160"/>
      <c r="V55" s="160"/>
      <c r="W55" s="161"/>
    </row>
    <row r="56" spans="1:23" s="2" customFormat="1" ht="13.5">
      <c r="A56" s="29">
        <v>5</v>
      </c>
      <c r="B56" s="159" t="str">
        <f t="shared" si="3"/>
        <v/>
      </c>
      <c r="C56" s="160"/>
      <c r="D56" s="160"/>
      <c r="E56" s="160"/>
      <c r="F56" s="161"/>
      <c r="G56" s="159" t="str">
        <f t="shared" si="5"/>
        <v/>
      </c>
      <c r="H56" s="160"/>
      <c r="I56" s="160"/>
      <c r="J56" s="160"/>
      <c r="K56" s="160"/>
      <c r="L56" s="161"/>
      <c r="M56" s="159" t="str">
        <f t="shared" si="4"/>
        <v/>
      </c>
      <c r="N56" s="160"/>
      <c r="O56" s="160"/>
      <c r="P56" s="160"/>
      <c r="Q56" s="161"/>
      <c r="R56" s="159" t="str">
        <f t="shared" si="6"/>
        <v/>
      </c>
      <c r="S56" s="160"/>
      <c r="T56" s="160"/>
      <c r="U56" s="160"/>
      <c r="V56" s="160"/>
      <c r="W56" s="161"/>
    </row>
    <row r="57" spans="1:23" s="2" customFormat="1" ht="13.5">
      <c r="A57" s="29">
        <v>6</v>
      </c>
      <c r="B57" s="159" t="str">
        <f t="shared" si="3"/>
        <v/>
      </c>
      <c r="C57" s="160"/>
      <c r="D57" s="160"/>
      <c r="E57" s="160"/>
      <c r="F57" s="161"/>
      <c r="G57" s="159" t="str">
        <f t="shared" si="5"/>
        <v/>
      </c>
      <c r="H57" s="160"/>
      <c r="I57" s="160"/>
      <c r="J57" s="160"/>
      <c r="K57" s="160"/>
      <c r="L57" s="161"/>
      <c r="M57" s="159" t="str">
        <f t="shared" si="4"/>
        <v/>
      </c>
      <c r="N57" s="160"/>
      <c r="O57" s="160"/>
      <c r="P57" s="160"/>
      <c r="Q57" s="161"/>
      <c r="R57" s="159" t="str">
        <f t="shared" si="6"/>
        <v/>
      </c>
      <c r="S57" s="160"/>
      <c r="T57" s="160"/>
      <c r="U57" s="160"/>
      <c r="V57" s="160"/>
      <c r="W57" s="161"/>
    </row>
    <row r="58" spans="1:23">
      <c r="A58" s="29">
        <v>7</v>
      </c>
      <c r="B58" s="159" t="str">
        <f t="shared" si="3"/>
        <v/>
      </c>
      <c r="C58" s="160"/>
      <c r="D58" s="160"/>
      <c r="E58" s="160"/>
      <c r="F58" s="161"/>
      <c r="G58" s="159" t="str">
        <f t="shared" si="5"/>
        <v/>
      </c>
      <c r="H58" s="160"/>
      <c r="I58" s="160"/>
      <c r="J58" s="160"/>
      <c r="K58" s="160"/>
      <c r="L58" s="161"/>
      <c r="M58" s="159" t="str">
        <f t="shared" si="4"/>
        <v/>
      </c>
      <c r="N58" s="160"/>
      <c r="O58" s="160"/>
      <c r="P58" s="160"/>
      <c r="Q58" s="161"/>
      <c r="R58" s="159" t="str">
        <f t="shared" si="6"/>
        <v/>
      </c>
      <c r="S58" s="160"/>
      <c r="T58" s="160"/>
      <c r="U58" s="160"/>
      <c r="V58" s="160"/>
      <c r="W58" s="161"/>
    </row>
    <row r="59" spans="1:23">
      <c r="A59" s="29">
        <v>8</v>
      </c>
      <c r="B59" s="159" t="str">
        <f t="shared" si="3"/>
        <v/>
      </c>
      <c r="C59" s="160"/>
      <c r="D59" s="160"/>
      <c r="E59" s="160"/>
      <c r="F59" s="161"/>
      <c r="G59" s="159" t="str">
        <f t="shared" si="5"/>
        <v/>
      </c>
      <c r="H59" s="160"/>
      <c r="I59" s="160"/>
      <c r="J59" s="160"/>
      <c r="K59" s="160"/>
      <c r="L59" s="161"/>
      <c r="M59" s="159" t="str">
        <f t="shared" si="4"/>
        <v/>
      </c>
      <c r="N59" s="160"/>
      <c r="O59" s="160"/>
      <c r="P59" s="160"/>
      <c r="Q59" s="161"/>
      <c r="R59" s="159" t="str">
        <f t="shared" si="6"/>
        <v/>
      </c>
      <c r="S59" s="160"/>
      <c r="T59" s="160"/>
      <c r="U59" s="160"/>
      <c r="V59" s="160"/>
      <c r="W59" s="161"/>
    </row>
    <row r="60" spans="1:23">
      <c r="A60" s="29">
        <v>9</v>
      </c>
      <c r="B60" s="159" t="str">
        <f t="shared" si="3"/>
        <v/>
      </c>
      <c r="C60" s="160"/>
      <c r="D60" s="160"/>
      <c r="E60" s="160"/>
      <c r="F60" s="161"/>
      <c r="G60" s="159" t="str">
        <f t="shared" si="5"/>
        <v/>
      </c>
      <c r="H60" s="160"/>
      <c r="I60" s="160"/>
      <c r="J60" s="160"/>
      <c r="K60" s="160"/>
      <c r="L60" s="161"/>
      <c r="M60" s="159" t="str">
        <f t="shared" si="4"/>
        <v/>
      </c>
      <c r="N60" s="160"/>
      <c r="O60" s="160"/>
      <c r="P60" s="160"/>
      <c r="Q60" s="161"/>
      <c r="R60" s="159" t="str">
        <f t="shared" si="6"/>
        <v/>
      </c>
      <c r="S60" s="160"/>
      <c r="T60" s="160"/>
      <c r="U60" s="160"/>
      <c r="V60" s="160"/>
      <c r="W60" s="161"/>
    </row>
    <row r="61" spans="1:23">
      <c r="A61" s="29">
        <v>10</v>
      </c>
      <c r="B61" s="159" t="str">
        <f t="shared" si="3"/>
        <v/>
      </c>
      <c r="C61" s="160"/>
      <c r="D61" s="160"/>
      <c r="E61" s="160"/>
      <c r="F61" s="161"/>
      <c r="G61" s="159" t="str">
        <f t="shared" si="5"/>
        <v/>
      </c>
      <c r="H61" s="160"/>
      <c r="I61" s="160"/>
      <c r="J61" s="160"/>
      <c r="K61" s="160"/>
      <c r="L61" s="161"/>
      <c r="M61" s="159" t="str">
        <f t="shared" si="4"/>
        <v/>
      </c>
      <c r="N61" s="160"/>
      <c r="O61" s="160"/>
      <c r="P61" s="160"/>
      <c r="Q61" s="161"/>
      <c r="R61" s="159" t="str">
        <f t="shared" si="6"/>
        <v/>
      </c>
      <c r="S61" s="160"/>
      <c r="T61" s="160"/>
      <c r="U61" s="160"/>
      <c r="V61" s="160"/>
      <c r="W61" s="161"/>
    </row>
    <row r="62" spans="1:23">
      <c r="A62" s="29">
        <v>11</v>
      </c>
      <c r="B62" s="159" t="str">
        <f t="shared" si="3"/>
        <v/>
      </c>
      <c r="C62" s="160"/>
      <c r="D62" s="160"/>
      <c r="E62" s="160"/>
      <c r="F62" s="161"/>
      <c r="G62" s="159" t="str">
        <f t="shared" si="5"/>
        <v/>
      </c>
      <c r="H62" s="160"/>
      <c r="I62" s="160"/>
      <c r="J62" s="160"/>
      <c r="K62" s="160"/>
      <c r="L62" s="161"/>
      <c r="M62" s="159" t="str">
        <f t="shared" si="4"/>
        <v/>
      </c>
      <c r="N62" s="160"/>
      <c r="O62" s="160"/>
      <c r="P62" s="160"/>
      <c r="Q62" s="161"/>
      <c r="R62" s="159" t="str">
        <f t="shared" si="6"/>
        <v/>
      </c>
      <c r="S62" s="160"/>
      <c r="T62" s="160"/>
      <c r="U62" s="160"/>
      <c r="V62" s="160"/>
      <c r="W62" s="161"/>
    </row>
    <row r="63" spans="1:23">
      <c r="A63" s="29">
        <v>12</v>
      </c>
      <c r="B63" s="159" t="str">
        <f t="shared" si="3"/>
        <v/>
      </c>
      <c r="C63" s="160"/>
      <c r="D63" s="160"/>
      <c r="E63" s="160"/>
      <c r="F63" s="161"/>
      <c r="G63" s="159" t="str">
        <f t="shared" si="5"/>
        <v/>
      </c>
      <c r="H63" s="160"/>
      <c r="I63" s="160"/>
      <c r="J63" s="160"/>
      <c r="K63" s="160"/>
      <c r="L63" s="161"/>
      <c r="M63" s="159" t="str">
        <f t="shared" si="4"/>
        <v/>
      </c>
      <c r="N63" s="160"/>
      <c r="O63" s="160"/>
      <c r="P63" s="160"/>
      <c r="Q63" s="161"/>
      <c r="R63" s="159" t="str">
        <f t="shared" si="6"/>
        <v/>
      </c>
      <c r="S63" s="160"/>
      <c r="T63" s="160"/>
      <c r="U63" s="160"/>
      <c r="V63" s="160"/>
      <c r="W63" s="161"/>
    </row>
    <row r="64" spans="1:23">
      <c r="A64" s="29">
        <v>13</v>
      </c>
      <c r="B64" s="159" t="str">
        <f t="shared" si="3"/>
        <v/>
      </c>
      <c r="C64" s="160"/>
      <c r="D64" s="160"/>
      <c r="E64" s="160"/>
      <c r="F64" s="161"/>
      <c r="G64" s="159" t="str">
        <f t="shared" si="5"/>
        <v/>
      </c>
      <c r="H64" s="160"/>
      <c r="I64" s="160"/>
      <c r="J64" s="160"/>
      <c r="K64" s="160"/>
      <c r="L64" s="161"/>
      <c r="M64" s="159" t="str">
        <f t="shared" si="4"/>
        <v/>
      </c>
      <c r="N64" s="160"/>
      <c r="O64" s="160"/>
      <c r="P64" s="160"/>
      <c r="Q64" s="161"/>
      <c r="R64" s="159" t="str">
        <f t="shared" si="6"/>
        <v/>
      </c>
      <c r="S64" s="160"/>
      <c r="T64" s="160"/>
      <c r="U64" s="160"/>
      <c r="V64" s="160"/>
      <c r="W64" s="161"/>
    </row>
    <row r="65" spans="1:23">
      <c r="A65" s="29">
        <v>14</v>
      </c>
      <c r="B65" s="159" t="str">
        <f t="shared" si="3"/>
        <v/>
      </c>
      <c r="C65" s="160"/>
      <c r="D65" s="160"/>
      <c r="E65" s="160"/>
      <c r="F65" s="161"/>
      <c r="G65" s="159" t="str">
        <f t="shared" si="5"/>
        <v/>
      </c>
      <c r="H65" s="160"/>
      <c r="I65" s="160"/>
      <c r="J65" s="160"/>
      <c r="K65" s="160"/>
      <c r="L65" s="161"/>
      <c r="M65" s="159" t="str">
        <f t="shared" si="4"/>
        <v/>
      </c>
      <c r="N65" s="160"/>
      <c r="O65" s="160"/>
      <c r="P65" s="160"/>
      <c r="Q65" s="161"/>
      <c r="R65" s="159" t="str">
        <f t="shared" si="6"/>
        <v/>
      </c>
      <c r="S65" s="160"/>
      <c r="T65" s="160"/>
      <c r="U65" s="160"/>
      <c r="V65" s="160"/>
      <c r="W65" s="161"/>
    </row>
    <row r="66" spans="1:23">
      <c r="A66" s="29">
        <v>15</v>
      </c>
      <c r="B66" s="159" t="str">
        <f t="shared" si="3"/>
        <v/>
      </c>
      <c r="C66" s="160"/>
      <c r="D66" s="160"/>
      <c r="E66" s="160"/>
      <c r="F66" s="161"/>
      <c r="G66" s="159" t="str">
        <f t="shared" si="5"/>
        <v/>
      </c>
      <c r="H66" s="160"/>
      <c r="I66" s="160"/>
      <c r="J66" s="160"/>
      <c r="K66" s="160"/>
      <c r="L66" s="161"/>
      <c r="M66" s="159" t="str">
        <f t="shared" si="4"/>
        <v/>
      </c>
      <c r="N66" s="160"/>
      <c r="O66" s="160"/>
      <c r="P66" s="160"/>
      <c r="Q66" s="161"/>
      <c r="R66" s="159" t="str">
        <f t="shared" si="6"/>
        <v/>
      </c>
      <c r="S66" s="160"/>
      <c r="T66" s="160"/>
      <c r="U66" s="160"/>
      <c r="V66" s="160"/>
      <c r="W66" s="161"/>
    </row>
    <row r="67" spans="1:23">
      <c r="A67" s="29">
        <v>16</v>
      </c>
      <c r="B67" s="159" t="str">
        <f t="shared" si="3"/>
        <v/>
      </c>
      <c r="C67" s="160"/>
      <c r="D67" s="160"/>
      <c r="E67" s="160"/>
      <c r="F67" s="161"/>
      <c r="G67" s="159" t="str">
        <f t="shared" si="5"/>
        <v/>
      </c>
      <c r="H67" s="160"/>
      <c r="I67" s="160"/>
      <c r="J67" s="160"/>
      <c r="K67" s="160"/>
      <c r="L67" s="161"/>
      <c r="M67" s="159" t="str">
        <f t="shared" si="4"/>
        <v/>
      </c>
      <c r="N67" s="160"/>
      <c r="O67" s="160"/>
      <c r="P67" s="160"/>
      <c r="Q67" s="161"/>
      <c r="R67" s="159" t="str">
        <f t="shared" si="6"/>
        <v/>
      </c>
      <c r="S67" s="160"/>
      <c r="T67" s="160"/>
      <c r="U67" s="160"/>
      <c r="V67" s="160"/>
      <c r="W67" s="161"/>
    </row>
    <row r="68" spans="1:23">
      <c r="A68" s="29">
        <v>17</v>
      </c>
      <c r="B68" s="159" t="str">
        <f t="shared" si="3"/>
        <v/>
      </c>
      <c r="C68" s="160"/>
      <c r="D68" s="160"/>
      <c r="E68" s="160"/>
      <c r="F68" s="161"/>
      <c r="G68" s="159" t="str">
        <f t="shared" si="5"/>
        <v/>
      </c>
      <c r="H68" s="160"/>
      <c r="I68" s="160"/>
      <c r="J68" s="160"/>
      <c r="K68" s="160"/>
      <c r="L68" s="161"/>
      <c r="M68" s="159" t="str">
        <f t="shared" si="4"/>
        <v/>
      </c>
      <c r="N68" s="160"/>
      <c r="O68" s="160"/>
      <c r="P68" s="160"/>
      <c r="Q68" s="161"/>
      <c r="R68" s="159" t="str">
        <f t="shared" si="6"/>
        <v/>
      </c>
      <c r="S68" s="160"/>
      <c r="T68" s="160"/>
      <c r="U68" s="160"/>
      <c r="V68" s="160"/>
      <c r="W68" s="161"/>
    </row>
    <row r="69" spans="1:23">
      <c r="A69" s="29">
        <v>18</v>
      </c>
      <c r="B69" s="159" t="str">
        <f t="shared" si="3"/>
        <v/>
      </c>
      <c r="C69" s="160"/>
      <c r="D69" s="160"/>
      <c r="E69" s="160"/>
      <c r="F69" s="161"/>
      <c r="G69" s="159" t="str">
        <f t="shared" si="5"/>
        <v/>
      </c>
      <c r="H69" s="160"/>
      <c r="I69" s="160"/>
      <c r="J69" s="160"/>
      <c r="K69" s="160"/>
      <c r="L69" s="161"/>
      <c r="M69" s="159" t="str">
        <f t="shared" si="4"/>
        <v/>
      </c>
      <c r="N69" s="160"/>
      <c r="O69" s="160"/>
      <c r="P69" s="160"/>
      <c r="Q69" s="161"/>
      <c r="R69" s="159" t="str">
        <f t="shared" si="6"/>
        <v/>
      </c>
      <c r="S69" s="160"/>
      <c r="T69" s="160"/>
      <c r="U69" s="160"/>
      <c r="V69" s="160"/>
      <c r="W69" s="161"/>
    </row>
    <row r="70" spans="1:23">
      <c r="A70" s="29">
        <v>19</v>
      </c>
      <c r="B70" s="159" t="str">
        <f t="shared" si="3"/>
        <v/>
      </c>
      <c r="C70" s="160"/>
      <c r="D70" s="160"/>
      <c r="E70" s="160"/>
      <c r="F70" s="161"/>
      <c r="G70" s="159" t="str">
        <f t="shared" si="5"/>
        <v/>
      </c>
      <c r="H70" s="160"/>
      <c r="I70" s="160"/>
      <c r="J70" s="160"/>
      <c r="K70" s="160"/>
      <c r="L70" s="161"/>
      <c r="M70" s="159" t="str">
        <f t="shared" si="4"/>
        <v/>
      </c>
      <c r="N70" s="160"/>
      <c r="O70" s="160"/>
      <c r="P70" s="160"/>
      <c r="Q70" s="161"/>
      <c r="R70" s="159" t="str">
        <f t="shared" si="6"/>
        <v/>
      </c>
      <c r="S70" s="160"/>
      <c r="T70" s="160"/>
      <c r="U70" s="160"/>
      <c r="V70" s="160"/>
      <c r="W70" s="161"/>
    </row>
    <row r="71" spans="1:23">
      <c r="A71" s="29">
        <v>20</v>
      </c>
      <c r="B71" s="159" t="str">
        <f t="shared" si="3"/>
        <v/>
      </c>
      <c r="C71" s="160"/>
      <c r="D71" s="160"/>
      <c r="E71" s="160"/>
      <c r="F71" s="161"/>
      <c r="G71" s="159" t="str">
        <f t="shared" si="5"/>
        <v/>
      </c>
      <c r="H71" s="160"/>
      <c r="I71" s="160"/>
      <c r="J71" s="160"/>
      <c r="K71" s="160"/>
      <c r="L71" s="161"/>
      <c r="M71" s="159" t="str">
        <f t="shared" si="4"/>
        <v/>
      </c>
      <c r="N71" s="160"/>
      <c r="O71" s="160"/>
      <c r="P71" s="160"/>
      <c r="Q71" s="161"/>
      <c r="R71" s="159" t="str">
        <f t="shared" si="6"/>
        <v/>
      </c>
      <c r="S71" s="160"/>
      <c r="T71" s="160"/>
      <c r="U71" s="160"/>
      <c r="V71" s="160"/>
      <c r="W71" s="161"/>
    </row>
    <row r="72" spans="1:23">
      <c r="A72" s="29">
        <v>21</v>
      </c>
      <c r="B72" s="159" t="str">
        <f t="shared" si="3"/>
        <v/>
      </c>
      <c r="C72" s="160"/>
      <c r="D72" s="160"/>
      <c r="E72" s="160"/>
      <c r="F72" s="161"/>
      <c r="G72" s="159" t="str">
        <f t="shared" si="5"/>
        <v/>
      </c>
      <c r="H72" s="160"/>
      <c r="I72" s="160"/>
      <c r="J72" s="160"/>
      <c r="K72" s="160"/>
      <c r="L72" s="161"/>
      <c r="M72" s="159" t="str">
        <f t="shared" si="4"/>
        <v/>
      </c>
      <c r="N72" s="160"/>
      <c r="O72" s="160"/>
      <c r="P72" s="160"/>
      <c r="Q72" s="161"/>
      <c r="R72" s="159" t="str">
        <f t="shared" si="6"/>
        <v/>
      </c>
      <c r="S72" s="160"/>
      <c r="T72" s="160"/>
      <c r="U72" s="160"/>
      <c r="V72" s="160"/>
      <c r="W72" s="161"/>
    </row>
    <row r="73" spans="1:23">
      <c r="A73" s="29">
        <v>22</v>
      </c>
      <c r="B73" s="159" t="str">
        <f t="shared" si="3"/>
        <v/>
      </c>
      <c r="C73" s="160"/>
      <c r="D73" s="160"/>
      <c r="E73" s="160"/>
      <c r="F73" s="161"/>
      <c r="G73" s="159" t="str">
        <f t="shared" si="5"/>
        <v/>
      </c>
      <c r="H73" s="160"/>
      <c r="I73" s="160"/>
      <c r="J73" s="160"/>
      <c r="K73" s="160"/>
      <c r="L73" s="161"/>
      <c r="M73" s="159" t="str">
        <f t="shared" si="4"/>
        <v/>
      </c>
      <c r="N73" s="160"/>
      <c r="O73" s="160"/>
      <c r="P73" s="160"/>
      <c r="Q73" s="161"/>
      <c r="R73" s="159" t="str">
        <f t="shared" si="6"/>
        <v/>
      </c>
      <c r="S73" s="160"/>
      <c r="T73" s="160"/>
      <c r="U73" s="160"/>
      <c r="V73" s="160"/>
      <c r="W73" s="161"/>
    </row>
    <row r="74" spans="1:23">
      <c r="A74" s="29">
        <v>23</v>
      </c>
      <c r="B74" s="159" t="str">
        <f t="shared" si="3"/>
        <v/>
      </c>
      <c r="C74" s="160"/>
      <c r="D74" s="160"/>
      <c r="E74" s="160"/>
      <c r="F74" s="161"/>
      <c r="G74" s="159" t="str">
        <f t="shared" si="5"/>
        <v/>
      </c>
      <c r="H74" s="160"/>
      <c r="I74" s="160"/>
      <c r="J74" s="160"/>
      <c r="K74" s="160"/>
      <c r="L74" s="161"/>
      <c r="M74" s="159" t="str">
        <f t="shared" si="4"/>
        <v/>
      </c>
      <c r="N74" s="160"/>
      <c r="O74" s="160"/>
      <c r="P74" s="160"/>
      <c r="Q74" s="161"/>
      <c r="R74" s="159" t="str">
        <f t="shared" si="6"/>
        <v/>
      </c>
      <c r="S74" s="160"/>
      <c r="T74" s="160"/>
      <c r="U74" s="160"/>
      <c r="V74" s="160"/>
      <c r="W74" s="161"/>
    </row>
    <row r="75" spans="1:23">
      <c r="A75" s="29">
        <v>24</v>
      </c>
      <c r="B75" s="159" t="str">
        <f t="shared" si="3"/>
        <v/>
      </c>
      <c r="C75" s="160"/>
      <c r="D75" s="160"/>
      <c r="E75" s="160"/>
      <c r="F75" s="161"/>
      <c r="G75" s="159" t="str">
        <f t="shared" si="5"/>
        <v/>
      </c>
      <c r="H75" s="160"/>
      <c r="I75" s="160"/>
      <c r="J75" s="160"/>
      <c r="K75" s="160"/>
      <c r="L75" s="161"/>
      <c r="M75" s="159" t="str">
        <f t="shared" si="4"/>
        <v/>
      </c>
      <c r="N75" s="160"/>
      <c r="O75" s="160"/>
      <c r="P75" s="160"/>
      <c r="Q75" s="161"/>
      <c r="R75" s="159" t="str">
        <f t="shared" si="6"/>
        <v/>
      </c>
      <c r="S75" s="160"/>
      <c r="T75" s="160"/>
      <c r="U75" s="160"/>
      <c r="V75" s="160"/>
      <c r="W75" s="161"/>
    </row>
    <row r="76" spans="1:23">
      <c r="A76" s="29">
        <v>25</v>
      </c>
      <c r="B76" s="159" t="str">
        <f t="shared" si="3"/>
        <v/>
      </c>
      <c r="C76" s="160"/>
      <c r="D76" s="160"/>
      <c r="E76" s="160"/>
      <c r="F76" s="161"/>
      <c r="G76" s="159" t="str">
        <f t="shared" si="5"/>
        <v/>
      </c>
      <c r="H76" s="160"/>
      <c r="I76" s="160"/>
      <c r="J76" s="160"/>
      <c r="K76" s="160"/>
      <c r="L76" s="161"/>
      <c r="M76" s="159" t="str">
        <f t="shared" si="4"/>
        <v/>
      </c>
      <c r="N76" s="160"/>
      <c r="O76" s="160"/>
      <c r="P76" s="160"/>
      <c r="Q76" s="161"/>
      <c r="R76" s="159" t="str">
        <f t="shared" si="6"/>
        <v/>
      </c>
      <c r="S76" s="160"/>
      <c r="T76" s="160"/>
      <c r="U76" s="160"/>
      <c r="V76" s="160"/>
      <c r="W76" s="161"/>
    </row>
    <row r="77" spans="1:23">
      <c r="A77" s="29">
        <v>26</v>
      </c>
      <c r="B77" s="159" t="str">
        <f t="shared" si="3"/>
        <v/>
      </c>
      <c r="C77" s="160"/>
      <c r="D77" s="160"/>
      <c r="E77" s="160"/>
      <c r="F77" s="161"/>
      <c r="G77" s="159" t="str">
        <f t="shared" si="5"/>
        <v/>
      </c>
      <c r="H77" s="160"/>
      <c r="I77" s="160"/>
      <c r="J77" s="160"/>
      <c r="K77" s="160"/>
      <c r="L77" s="161"/>
      <c r="M77" s="159" t="str">
        <f t="shared" si="4"/>
        <v/>
      </c>
      <c r="N77" s="160"/>
      <c r="O77" s="160"/>
      <c r="P77" s="160"/>
      <c r="Q77" s="161"/>
      <c r="R77" s="159" t="str">
        <f t="shared" si="6"/>
        <v/>
      </c>
      <c r="S77" s="160"/>
      <c r="T77" s="160"/>
      <c r="U77" s="160"/>
      <c r="V77" s="160"/>
      <c r="W77" s="161"/>
    </row>
    <row r="78" spans="1:23">
      <c r="A78" s="29">
        <v>27</v>
      </c>
      <c r="B78" s="159" t="str">
        <f t="shared" si="3"/>
        <v/>
      </c>
      <c r="C78" s="160"/>
      <c r="D78" s="160"/>
      <c r="E78" s="160"/>
      <c r="F78" s="161"/>
      <c r="G78" s="159" t="str">
        <f t="shared" si="5"/>
        <v/>
      </c>
      <c r="H78" s="160"/>
      <c r="I78" s="160"/>
      <c r="J78" s="160"/>
      <c r="K78" s="160"/>
      <c r="L78" s="161"/>
      <c r="M78" s="159" t="str">
        <f t="shared" si="4"/>
        <v/>
      </c>
      <c r="N78" s="160"/>
      <c r="O78" s="160"/>
      <c r="P78" s="160"/>
      <c r="Q78" s="161"/>
      <c r="R78" s="159" t="str">
        <f t="shared" si="6"/>
        <v/>
      </c>
      <c r="S78" s="160"/>
      <c r="T78" s="160"/>
      <c r="U78" s="160"/>
      <c r="V78" s="160"/>
      <c r="W78" s="161"/>
    </row>
    <row r="79" spans="1:23">
      <c r="A79" s="29">
        <v>28</v>
      </c>
      <c r="B79" s="159" t="str">
        <f t="shared" si="3"/>
        <v/>
      </c>
      <c r="C79" s="160"/>
      <c r="D79" s="160"/>
      <c r="E79" s="160"/>
      <c r="F79" s="161"/>
      <c r="G79" s="159" t="str">
        <f t="shared" si="5"/>
        <v/>
      </c>
      <c r="H79" s="160"/>
      <c r="I79" s="160"/>
      <c r="J79" s="160"/>
      <c r="K79" s="160"/>
      <c r="L79" s="161"/>
      <c r="M79" s="159" t="str">
        <f t="shared" si="4"/>
        <v/>
      </c>
      <c r="N79" s="160"/>
      <c r="O79" s="160"/>
      <c r="P79" s="160"/>
      <c r="Q79" s="161"/>
      <c r="R79" s="159" t="str">
        <f t="shared" si="6"/>
        <v/>
      </c>
      <c r="S79" s="160"/>
      <c r="T79" s="160"/>
      <c r="U79" s="160"/>
      <c r="V79" s="160"/>
      <c r="W79" s="161"/>
    </row>
    <row r="80" spans="1:23">
      <c r="A80" s="29">
        <v>29</v>
      </c>
      <c r="B80" s="159" t="str">
        <f t="shared" si="3"/>
        <v/>
      </c>
      <c r="C80" s="160"/>
      <c r="D80" s="160"/>
      <c r="E80" s="160"/>
      <c r="F80" s="161"/>
      <c r="G80" s="159" t="str">
        <f t="shared" si="5"/>
        <v/>
      </c>
      <c r="H80" s="160"/>
      <c r="I80" s="160"/>
      <c r="J80" s="160"/>
      <c r="K80" s="160"/>
      <c r="L80" s="161"/>
      <c r="M80" s="159" t="str">
        <f t="shared" si="4"/>
        <v/>
      </c>
      <c r="N80" s="160"/>
      <c r="O80" s="160"/>
      <c r="P80" s="160"/>
      <c r="Q80" s="161"/>
      <c r="R80" s="159" t="str">
        <f t="shared" si="6"/>
        <v/>
      </c>
      <c r="S80" s="160"/>
      <c r="T80" s="160"/>
      <c r="U80" s="160"/>
      <c r="V80" s="160"/>
      <c r="W80" s="161"/>
    </row>
    <row r="81" spans="1:23">
      <c r="A81" s="29">
        <v>30</v>
      </c>
      <c r="B81" s="159" t="str">
        <f t="shared" si="3"/>
        <v/>
      </c>
      <c r="C81" s="160"/>
      <c r="D81" s="160"/>
      <c r="E81" s="160"/>
      <c r="F81" s="161"/>
      <c r="G81" s="159" t="str">
        <f t="shared" si="5"/>
        <v/>
      </c>
      <c r="H81" s="160"/>
      <c r="I81" s="160"/>
      <c r="J81" s="160"/>
      <c r="K81" s="160"/>
      <c r="L81" s="161"/>
      <c r="M81" s="159" t="str">
        <f t="shared" si="4"/>
        <v/>
      </c>
      <c r="N81" s="160"/>
      <c r="O81" s="160"/>
      <c r="P81" s="160"/>
      <c r="Q81" s="161"/>
      <c r="R81" s="159" t="str">
        <f t="shared" si="6"/>
        <v/>
      </c>
      <c r="S81" s="160"/>
      <c r="T81" s="160"/>
      <c r="U81" s="160"/>
      <c r="V81" s="160"/>
      <c r="W81" s="161"/>
    </row>
    <row r="82" spans="1:23">
      <c r="A82" s="29">
        <v>31</v>
      </c>
      <c r="B82" s="159" t="str">
        <f t="shared" si="3"/>
        <v/>
      </c>
      <c r="C82" s="160"/>
      <c r="D82" s="160"/>
      <c r="E82" s="160"/>
      <c r="F82" s="161"/>
      <c r="G82" s="159" t="str">
        <f t="shared" si="5"/>
        <v/>
      </c>
      <c r="H82" s="160"/>
      <c r="I82" s="160"/>
      <c r="J82" s="160"/>
      <c r="K82" s="160"/>
      <c r="L82" s="161"/>
      <c r="M82" s="159" t="str">
        <f t="shared" si="4"/>
        <v/>
      </c>
      <c r="N82" s="160"/>
      <c r="O82" s="160"/>
      <c r="P82" s="160"/>
      <c r="Q82" s="161"/>
      <c r="R82" s="159" t="str">
        <f t="shared" si="6"/>
        <v/>
      </c>
      <c r="S82" s="160"/>
      <c r="T82" s="160"/>
      <c r="U82" s="160"/>
      <c r="V82" s="160"/>
      <c r="W82" s="161"/>
    </row>
  </sheetData>
  <mergeCells count="190">
    <mergeCell ref="R80:W80"/>
    <mergeCell ref="M81:Q81"/>
    <mergeCell ref="R81:W81"/>
    <mergeCell ref="M82:Q82"/>
    <mergeCell ref="R82:W82"/>
    <mergeCell ref="R77:W77"/>
    <mergeCell ref="M78:Q78"/>
    <mergeCell ref="R78:W78"/>
    <mergeCell ref="M79:Q79"/>
    <mergeCell ref="R79:W79"/>
    <mergeCell ref="R74:W74"/>
    <mergeCell ref="M75:Q75"/>
    <mergeCell ref="R75:W75"/>
    <mergeCell ref="M76:Q76"/>
    <mergeCell ref="R76:W76"/>
    <mergeCell ref="R71:W71"/>
    <mergeCell ref="M72:Q72"/>
    <mergeCell ref="R72:W72"/>
    <mergeCell ref="M73:Q73"/>
    <mergeCell ref="R73:W73"/>
    <mergeCell ref="R68:W68"/>
    <mergeCell ref="M69:Q69"/>
    <mergeCell ref="R69:W69"/>
    <mergeCell ref="M70:Q70"/>
    <mergeCell ref="R70:W70"/>
    <mergeCell ref="R65:W65"/>
    <mergeCell ref="M66:Q66"/>
    <mergeCell ref="R66:W66"/>
    <mergeCell ref="M67:Q67"/>
    <mergeCell ref="R67:W67"/>
    <mergeCell ref="R62:W62"/>
    <mergeCell ref="M63:Q63"/>
    <mergeCell ref="R63:W63"/>
    <mergeCell ref="M64:Q64"/>
    <mergeCell ref="R64:W64"/>
    <mergeCell ref="R59:W59"/>
    <mergeCell ref="M60:Q60"/>
    <mergeCell ref="R60:W60"/>
    <mergeCell ref="M61:Q61"/>
    <mergeCell ref="R61:W61"/>
    <mergeCell ref="R56:W56"/>
    <mergeCell ref="M57:Q57"/>
    <mergeCell ref="R57:W57"/>
    <mergeCell ref="M58:Q58"/>
    <mergeCell ref="R58:W58"/>
    <mergeCell ref="R53:W53"/>
    <mergeCell ref="M54:Q54"/>
    <mergeCell ref="R54:W54"/>
    <mergeCell ref="M55:Q55"/>
    <mergeCell ref="R55:W55"/>
    <mergeCell ref="B80:F80"/>
    <mergeCell ref="G80:L80"/>
    <mergeCell ref="B81:F81"/>
    <mergeCell ref="G81:L81"/>
    <mergeCell ref="B82:F82"/>
    <mergeCell ref="G82:L82"/>
    <mergeCell ref="M80:Q80"/>
    <mergeCell ref="B77:F77"/>
    <mergeCell ref="G77:L77"/>
    <mergeCell ref="B78:F78"/>
    <mergeCell ref="G78:L78"/>
    <mergeCell ref="B79:F79"/>
    <mergeCell ref="G79:L79"/>
    <mergeCell ref="M77:Q77"/>
    <mergeCell ref="B74:F74"/>
    <mergeCell ref="G74:L74"/>
    <mergeCell ref="B75:F75"/>
    <mergeCell ref="G75:L75"/>
    <mergeCell ref="B76:F76"/>
    <mergeCell ref="G76:L76"/>
    <mergeCell ref="M74:Q74"/>
    <mergeCell ref="B71:F71"/>
    <mergeCell ref="G71:L71"/>
    <mergeCell ref="B72:F72"/>
    <mergeCell ref="G72:L72"/>
    <mergeCell ref="B73:F73"/>
    <mergeCell ref="G73:L73"/>
    <mergeCell ref="M71:Q71"/>
    <mergeCell ref="B68:F68"/>
    <mergeCell ref="G68:L68"/>
    <mergeCell ref="B69:F69"/>
    <mergeCell ref="G69:L69"/>
    <mergeCell ref="B70:F70"/>
    <mergeCell ref="G70:L70"/>
    <mergeCell ref="M68:Q68"/>
    <mergeCell ref="B65:F65"/>
    <mergeCell ref="G65:L65"/>
    <mergeCell ref="B66:F66"/>
    <mergeCell ref="G66:L66"/>
    <mergeCell ref="B67:F67"/>
    <mergeCell ref="G67:L67"/>
    <mergeCell ref="M65:Q65"/>
    <mergeCell ref="B62:F62"/>
    <mergeCell ref="G62:L62"/>
    <mergeCell ref="B63:F63"/>
    <mergeCell ref="G63:L63"/>
    <mergeCell ref="B64:F64"/>
    <mergeCell ref="G64:L64"/>
    <mergeCell ref="M62:Q62"/>
    <mergeCell ref="B59:F59"/>
    <mergeCell ref="G59:L59"/>
    <mergeCell ref="B60:F60"/>
    <mergeCell ref="G60:L60"/>
    <mergeCell ref="B61:F61"/>
    <mergeCell ref="G61:L61"/>
    <mergeCell ref="M59:Q59"/>
    <mergeCell ref="B56:F56"/>
    <mergeCell ref="G56:L56"/>
    <mergeCell ref="B57:F57"/>
    <mergeCell ref="G57:L57"/>
    <mergeCell ref="B58:F58"/>
    <mergeCell ref="G58:L58"/>
    <mergeCell ref="M56:Q56"/>
    <mergeCell ref="B53:F53"/>
    <mergeCell ref="G53:L53"/>
    <mergeCell ref="B54:F54"/>
    <mergeCell ref="G54:L54"/>
    <mergeCell ref="B55:F55"/>
    <mergeCell ref="G55:L55"/>
    <mergeCell ref="M53:Q53"/>
    <mergeCell ref="A50:L50"/>
    <mergeCell ref="B51:F51"/>
    <mergeCell ref="G51:L51"/>
    <mergeCell ref="B52:F52"/>
    <mergeCell ref="G52:L52"/>
    <mergeCell ref="M50:W50"/>
    <mergeCell ref="M51:Q51"/>
    <mergeCell ref="R51:W51"/>
    <mergeCell ref="M52:Q52"/>
    <mergeCell ref="R52:W52"/>
    <mergeCell ref="A1:B1"/>
    <mergeCell ref="C1:D1"/>
    <mergeCell ref="E1:E2"/>
    <mergeCell ref="F1:H2"/>
    <mergeCell ref="A2:B2"/>
    <mergeCell ref="C2:D2"/>
    <mergeCell ref="A3:B3"/>
    <mergeCell ref="C3:D3"/>
    <mergeCell ref="F3:H3"/>
    <mergeCell ref="A4:B4"/>
    <mergeCell ref="C4:D4"/>
    <mergeCell ref="F4:H4"/>
    <mergeCell ref="J4:L4"/>
    <mergeCell ref="A5:B5"/>
    <mergeCell ref="C5:D5"/>
    <mergeCell ref="E5:F5"/>
    <mergeCell ref="G5:H5"/>
    <mergeCell ref="J5:L5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C44:G44"/>
    <mergeCell ref="J44:L44"/>
    <mergeCell ref="C45:G45"/>
    <mergeCell ref="C46:G46"/>
    <mergeCell ref="J46:L46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381000</xdr:colOff>
                    <xdr:row>0</xdr:row>
                    <xdr:rowOff>19050</xdr:rowOff>
                  </from>
                  <to>
                    <xdr:col>14</xdr:col>
                    <xdr:colOff>361950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9A81E-4E14-42ED-8B02-A5D76E7B4184}">
  <sheetPr codeName="Sheet5"/>
  <dimension ref="A1:AD82"/>
  <sheetViews>
    <sheetView topLeftCell="A31" workbookViewId="0">
      <selection activeCell="E5" sqref="E5:F5"/>
    </sheetView>
  </sheetViews>
  <sheetFormatPr defaultRowHeight="16.5"/>
  <cols>
    <col min="2" max="2" width="26.25" customWidth="1"/>
    <col min="3" max="3" width="31.125" customWidth="1"/>
    <col min="4" max="4" width="4.125" customWidth="1"/>
    <col min="5" max="5" width="14.75" customWidth="1"/>
    <col min="8" max="8" width="11.25" customWidth="1"/>
    <col min="12" max="12" width="16.75" customWidth="1"/>
  </cols>
  <sheetData>
    <row r="1" spans="1:30" ht="17.45" customHeight="1">
      <c r="A1" s="124" t="s">
        <v>1</v>
      </c>
      <c r="B1" s="125"/>
      <c r="C1" s="122" t="s">
        <v>38</v>
      </c>
      <c r="D1" s="122"/>
      <c r="E1" s="122" t="s">
        <v>19</v>
      </c>
      <c r="F1" s="141" t="s">
        <v>2</v>
      </c>
      <c r="G1" s="141"/>
      <c r="H1" s="142"/>
      <c r="I1" s="16" t="s">
        <v>3</v>
      </c>
      <c r="J1" s="6" t="s">
        <v>39</v>
      </c>
      <c r="K1" s="11" t="s">
        <v>4</v>
      </c>
      <c r="L1" s="13">
        <v>43755</v>
      </c>
      <c r="M1" s="34"/>
      <c r="N1" s="18"/>
    </row>
    <row r="2" spans="1:30" ht="17.45" customHeight="1">
      <c r="A2" s="126" t="s">
        <v>5</v>
      </c>
      <c r="B2" s="127"/>
      <c r="C2" s="122"/>
      <c r="D2" s="122"/>
      <c r="E2" s="122"/>
      <c r="F2" s="143"/>
      <c r="G2" s="143"/>
      <c r="H2" s="144"/>
      <c r="I2" s="1" t="s">
        <v>6</v>
      </c>
      <c r="J2" s="6"/>
      <c r="K2" s="15" t="s">
        <v>7</v>
      </c>
      <c r="L2" s="13"/>
      <c r="M2" s="34"/>
      <c r="N2" s="18"/>
    </row>
    <row r="3" spans="1:30">
      <c r="A3" s="128" t="s">
        <v>0</v>
      </c>
      <c r="B3" s="129"/>
      <c r="C3" s="139"/>
      <c r="D3" s="140"/>
      <c r="E3" s="23" t="s">
        <v>8</v>
      </c>
      <c r="F3" s="145" t="s">
        <v>29</v>
      </c>
      <c r="G3" s="145"/>
      <c r="H3" s="145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PRODUCTION ;</v>
      </c>
    </row>
    <row r="4" spans="1:30" ht="27">
      <c r="A4" s="122" t="s">
        <v>12</v>
      </c>
      <c r="B4" s="122"/>
      <c r="C4" s="122"/>
      <c r="D4" s="122"/>
      <c r="E4" s="6" t="s">
        <v>13</v>
      </c>
      <c r="F4" s="123" t="s">
        <v>121</v>
      </c>
      <c r="G4" s="123"/>
      <c r="H4" s="123"/>
      <c r="I4" s="58" t="s">
        <v>14</v>
      </c>
      <c r="J4" s="132" t="s">
        <v>115</v>
      </c>
      <c r="K4" s="133"/>
      <c r="L4" s="134"/>
      <c r="M4" s="36"/>
      <c r="N4" s="20"/>
      <c r="O4" s="17"/>
    </row>
    <row r="5" spans="1:30" ht="27">
      <c r="A5" s="135" t="s">
        <v>31</v>
      </c>
      <c r="B5" s="136"/>
      <c r="C5" s="135"/>
      <c r="D5" s="136"/>
      <c r="E5" s="137" t="s">
        <v>33</v>
      </c>
      <c r="F5" s="138"/>
      <c r="G5" s="132" t="s">
        <v>34</v>
      </c>
      <c r="H5" s="134"/>
      <c r="I5" s="58" t="s">
        <v>32</v>
      </c>
      <c r="J5" s="132"/>
      <c r="K5" s="133"/>
      <c r="L5" s="134"/>
      <c r="M5" s="36"/>
      <c r="N5" s="20"/>
      <c r="O5" s="17"/>
    </row>
    <row r="6" spans="1:30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0" t="s">
        <v>37</v>
      </c>
      <c r="K6" s="131"/>
      <c r="L6" s="107" t="s">
        <v>26</v>
      </c>
      <c r="M6" s="37"/>
      <c r="N6" s="71" t="str">
        <f>CONCATENATE("CREATE TABLE ",$F$4," (")</f>
        <v>CREATE TABLE PRODUCTION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PRODUCTION IS '제품목록'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>
      <c r="A7" s="104">
        <v>1</v>
      </c>
      <c r="B7" s="59" t="s">
        <v>85</v>
      </c>
      <c r="C7" s="59" t="s">
        <v>63</v>
      </c>
      <c r="D7" s="59" t="s">
        <v>43</v>
      </c>
      <c r="E7" s="59" t="s">
        <v>45</v>
      </c>
      <c r="F7" s="59">
        <v>5</v>
      </c>
      <c r="G7" s="95" t="s">
        <v>72</v>
      </c>
      <c r="H7" s="95"/>
      <c r="I7" s="96"/>
      <c r="J7" s="121"/>
      <c r="K7" s="121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ProductionID                   CHAR (5)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PRODUCTION.ProductionID IS '제품ID' ;</v>
      </c>
      <c r="V7" s="75"/>
      <c r="W7" s="75"/>
      <c r="X7" s="75"/>
      <c r="Y7" s="75"/>
      <c r="Z7" s="75"/>
      <c r="AA7" s="75"/>
      <c r="AB7" s="75"/>
      <c r="AC7" s="75"/>
      <c r="AD7" s="27"/>
    </row>
    <row r="8" spans="1:30">
      <c r="A8" s="104">
        <v>2</v>
      </c>
      <c r="B8" s="61" t="s">
        <v>96</v>
      </c>
      <c r="C8" s="59" t="s">
        <v>95</v>
      </c>
      <c r="D8" s="59" t="s">
        <v>43</v>
      </c>
      <c r="E8" s="59" t="s">
        <v>60</v>
      </c>
      <c r="F8" s="61">
        <v>20</v>
      </c>
      <c r="G8" s="95"/>
      <c r="H8" s="98"/>
      <c r="I8" s="59"/>
      <c r="J8" s="121"/>
      <c r="K8" s="121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 xml:space="preserve">ProductionName                 VARCHAR (20)   NOT NULL  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PRODUCTION.ProductionName IS '제품이름' ;</v>
      </c>
      <c r="V8" s="72"/>
      <c r="W8" s="72"/>
      <c r="X8" s="72"/>
      <c r="Y8" s="72"/>
      <c r="Z8" s="72"/>
      <c r="AA8" s="72"/>
      <c r="AB8" s="72"/>
      <c r="AC8" s="72"/>
      <c r="AD8" s="3"/>
    </row>
    <row r="9" spans="1:30">
      <c r="A9" s="104">
        <v>3</v>
      </c>
      <c r="B9" s="59"/>
      <c r="C9" s="59"/>
      <c r="D9" s="67"/>
      <c r="E9" s="59"/>
      <c r="F9" s="59"/>
      <c r="G9" s="95"/>
      <c r="H9" s="95"/>
      <c r="I9" s="96"/>
      <c r="J9" s="147"/>
      <c r="K9" s="147"/>
      <c r="L9" s="59"/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) Tablespace TS_HEMR_DATA ;</v>
      </c>
      <c r="O9" s="74"/>
      <c r="P9" s="75"/>
      <c r="Q9" s="75"/>
      <c r="R9" s="75"/>
      <c r="S9" s="75"/>
      <c r="T9" s="75"/>
      <c r="U9" s="73" t="str">
        <f t="shared" si="0"/>
        <v>COMMENT ON COLUMN PRODUCTION. IS '' ;</v>
      </c>
      <c r="V9" s="75"/>
      <c r="W9" s="75"/>
      <c r="X9" s="75"/>
      <c r="Y9" s="75"/>
      <c r="Z9" s="75"/>
      <c r="AA9" s="75"/>
      <c r="AB9" s="75"/>
      <c r="AC9" s="75"/>
      <c r="AD9" s="27"/>
    </row>
    <row r="10" spans="1:30">
      <c r="A10" s="104">
        <v>4</v>
      </c>
      <c r="B10" s="59"/>
      <c r="C10" s="59"/>
      <c r="D10" s="59"/>
      <c r="E10" s="59"/>
      <c r="F10" s="59"/>
      <c r="G10" s="95"/>
      <c r="H10" s="95"/>
      <c r="I10" s="96"/>
      <c r="J10" s="148"/>
      <c r="K10" s="148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) Tablespace TS_HEMR_DATA ;</v>
      </c>
      <c r="O10" s="74"/>
      <c r="P10" s="75"/>
      <c r="Q10" s="75"/>
      <c r="R10" s="75"/>
      <c r="S10" s="75"/>
      <c r="T10" s="75"/>
      <c r="U10" s="73" t="str">
        <f t="shared" si="0"/>
        <v>COMMENT ON COLUMN PRODUCTION. IS '' ;</v>
      </c>
      <c r="V10" s="75"/>
      <c r="W10" s="75"/>
      <c r="X10" s="75"/>
      <c r="Y10" s="75"/>
      <c r="Z10" s="75"/>
      <c r="AA10" s="75"/>
      <c r="AB10" s="75"/>
      <c r="AC10" s="75"/>
      <c r="AD10" s="27"/>
    </row>
    <row r="11" spans="1:30">
      <c r="A11" s="104">
        <v>5</v>
      </c>
      <c r="B11" s="61"/>
      <c r="C11" s="65"/>
      <c r="D11" s="61"/>
      <c r="E11" s="59"/>
      <c r="F11" s="66"/>
      <c r="G11" s="95"/>
      <c r="H11" s="95"/>
      <c r="I11" s="96"/>
      <c r="J11" s="147"/>
      <c r="K11" s="147"/>
      <c r="L11" s="97"/>
      <c r="M11" s="28"/>
      <c r="N11" s="71" t="str">
        <f t="shared" si="1"/>
        <v>) Tablespace TS_HEMR_DATA ;</v>
      </c>
      <c r="O11" s="74"/>
      <c r="P11" s="75"/>
      <c r="Q11" s="75"/>
      <c r="R11" s="75"/>
      <c r="S11" s="75"/>
      <c r="T11" s="75"/>
      <c r="U11" s="73" t="str">
        <f t="shared" si="0"/>
        <v>COMMENT ON COLUMN PRODUCTION. IS '' ;</v>
      </c>
      <c r="V11" s="75"/>
      <c r="W11" s="75"/>
      <c r="X11" s="75"/>
      <c r="Y11" s="75"/>
      <c r="Z11" s="75"/>
      <c r="AA11" s="75"/>
      <c r="AB11" s="75"/>
      <c r="AC11" s="75"/>
      <c r="AD11" s="27"/>
    </row>
    <row r="12" spans="1:30">
      <c r="A12" s="104">
        <v>6</v>
      </c>
      <c r="B12" s="61"/>
      <c r="C12" s="65"/>
      <c r="D12" s="59"/>
      <c r="E12" s="59"/>
      <c r="F12" s="61"/>
      <c r="G12" s="95"/>
      <c r="H12" s="95"/>
      <c r="I12" s="96"/>
      <c r="J12" s="121"/>
      <c r="K12" s="121"/>
      <c r="L12" s="97"/>
      <c r="M12" s="28"/>
      <c r="N12" s="71" t="str">
        <f t="shared" si="1"/>
        <v>) Tablespace TS_HEMR_DATA ;</v>
      </c>
      <c r="O12" s="74"/>
      <c r="P12" s="75"/>
      <c r="Q12" s="75"/>
      <c r="R12" s="75"/>
      <c r="S12" s="75"/>
      <c r="T12" s="75"/>
      <c r="U12" s="73" t="str">
        <f t="shared" si="0"/>
        <v>COMMENT ON COLUMN PRODUCTION. IS '' ;</v>
      </c>
      <c r="V12" s="75"/>
      <c r="W12" s="75"/>
      <c r="X12" s="75"/>
      <c r="Y12" s="75"/>
      <c r="Z12" s="75"/>
      <c r="AA12" s="75"/>
      <c r="AB12" s="75"/>
      <c r="AC12" s="75"/>
      <c r="AD12" s="27"/>
    </row>
    <row r="13" spans="1:30">
      <c r="A13" s="104">
        <v>7</v>
      </c>
      <c r="B13" s="59"/>
      <c r="C13" s="65"/>
      <c r="D13" s="67"/>
      <c r="E13" s="88"/>
      <c r="F13" s="94"/>
      <c r="G13" s="95"/>
      <c r="H13" s="95"/>
      <c r="I13" s="96"/>
      <c r="J13" s="121"/>
      <c r="K13" s="121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) Tablespace TS_HEMR_DATA ;</v>
      </c>
      <c r="O13" s="74"/>
      <c r="P13" s="75"/>
      <c r="Q13" s="75"/>
      <c r="R13" s="75"/>
      <c r="S13" s="75"/>
      <c r="T13" s="75"/>
      <c r="U13" s="73" t="str">
        <f t="shared" si="0"/>
        <v>COMMENT ON COLUMN PRODUCTION. IS '' ;</v>
      </c>
      <c r="V13" s="75"/>
      <c r="W13" s="75"/>
      <c r="X13" s="75"/>
      <c r="Y13" s="75"/>
      <c r="Z13" s="75"/>
      <c r="AA13" s="75"/>
      <c r="AB13" s="75"/>
      <c r="AC13" s="75"/>
      <c r="AD13" s="27"/>
    </row>
    <row r="14" spans="1:30">
      <c r="A14" s="104">
        <v>8</v>
      </c>
      <c r="B14" s="59"/>
      <c r="C14" s="59"/>
      <c r="D14" s="66"/>
      <c r="E14" s="88"/>
      <c r="F14" s="94"/>
      <c r="G14" s="95"/>
      <c r="H14" s="95"/>
      <c r="I14" s="96"/>
      <c r="J14" s="121"/>
      <c r="K14" s="121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74"/>
      <c r="P14" s="75"/>
      <c r="Q14" s="75"/>
      <c r="R14" s="75"/>
      <c r="S14" s="75"/>
      <c r="T14" s="75"/>
      <c r="U14" s="73" t="str">
        <f t="shared" si="0"/>
        <v>COMMENT ON COLUMN PRODUCTION. IS '' ;</v>
      </c>
      <c r="V14" s="75"/>
      <c r="W14" s="75"/>
      <c r="X14" s="75"/>
      <c r="Y14" s="75"/>
      <c r="Z14" s="75"/>
      <c r="AA14" s="75"/>
      <c r="AB14" s="75"/>
      <c r="AC14" s="75"/>
      <c r="AD14" s="27"/>
    </row>
    <row r="15" spans="1:30">
      <c r="A15" s="104">
        <v>9</v>
      </c>
      <c r="B15" s="66"/>
      <c r="C15" s="66"/>
      <c r="D15" s="66"/>
      <c r="E15" s="90"/>
      <c r="F15" s="93"/>
      <c r="G15" s="95"/>
      <c r="H15" s="95"/>
      <c r="I15" s="100"/>
      <c r="J15" s="121"/>
      <c r="K15" s="121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PRODUCTION. IS '' ;</v>
      </c>
      <c r="V15" s="75"/>
      <c r="W15" s="75"/>
      <c r="X15" s="75"/>
      <c r="Y15" s="75"/>
      <c r="Z15" s="75"/>
      <c r="AA15" s="75"/>
      <c r="AB15" s="75"/>
      <c r="AC15" s="75"/>
      <c r="AD15" s="27"/>
    </row>
    <row r="16" spans="1:30">
      <c r="A16" s="104">
        <v>10</v>
      </c>
      <c r="B16" s="101"/>
      <c r="C16" s="101"/>
      <c r="D16" s="66"/>
      <c r="E16" s="102"/>
      <c r="F16" s="103"/>
      <c r="G16" s="95"/>
      <c r="H16" s="95"/>
      <c r="I16" s="96"/>
      <c r="J16" s="121"/>
      <c r="K16" s="121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PRODUCTION. IS '' ;</v>
      </c>
      <c r="V16" s="75"/>
      <c r="W16" s="75"/>
      <c r="X16" s="75"/>
      <c r="Y16" s="75"/>
      <c r="Z16" s="75"/>
      <c r="AA16" s="75"/>
      <c r="AB16" s="75"/>
      <c r="AC16" s="75"/>
      <c r="AD16" s="27"/>
    </row>
    <row r="17" spans="1:30">
      <c r="A17" s="104">
        <v>11</v>
      </c>
      <c r="B17" s="101"/>
      <c r="C17" s="101"/>
      <c r="D17" s="66"/>
      <c r="E17" s="102"/>
      <c r="F17" s="103"/>
      <c r="G17" s="95"/>
      <c r="H17" s="95"/>
      <c r="I17" s="96"/>
      <c r="J17" s="121"/>
      <c r="K17" s="121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PRODUCTION. IS '' ;</v>
      </c>
      <c r="V17" s="72"/>
      <c r="W17" s="72"/>
      <c r="X17" s="72"/>
      <c r="Y17" s="72"/>
      <c r="Z17" s="72"/>
      <c r="AA17" s="72"/>
      <c r="AB17" s="72"/>
      <c r="AC17" s="72"/>
      <c r="AD17" s="3"/>
    </row>
    <row r="18" spans="1:30">
      <c r="A18" s="104">
        <v>12</v>
      </c>
      <c r="B18" s="101"/>
      <c r="C18" s="101"/>
      <c r="D18" s="66"/>
      <c r="E18" s="102"/>
      <c r="F18" s="103"/>
      <c r="G18" s="95"/>
      <c r="H18" s="95"/>
      <c r="I18" s="96"/>
      <c r="J18" s="121"/>
      <c r="K18" s="121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PRODUCTION. IS '' ;</v>
      </c>
      <c r="V18" s="72"/>
      <c r="W18" s="72"/>
      <c r="X18" s="72"/>
      <c r="Y18" s="72"/>
      <c r="Z18" s="72"/>
      <c r="AA18" s="72"/>
      <c r="AB18" s="72"/>
      <c r="AC18" s="72"/>
      <c r="AD18" s="3"/>
    </row>
    <row r="19" spans="1:30">
      <c r="A19" s="104">
        <v>13</v>
      </c>
      <c r="B19" s="101"/>
      <c r="C19" s="101"/>
      <c r="D19" s="66"/>
      <c r="E19" s="102"/>
      <c r="F19" s="103"/>
      <c r="G19" s="95"/>
      <c r="H19" s="95"/>
      <c r="I19" s="96"/>
      <c r="J19" s="121"/>
      <c r="K19" s="121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PRODUCTION. IS '' ;</v>
      </c>
      <c r="V19" s="72"/>
      <c r="W19" s="72"/>
      <c r="X19" s="72"/>
      <c r="Y19" s="72"/>
      <c r="Z19" s="72"/>
      <c r="AA19" s="72"/>
      <c r="AB19" s="72"/>
      <c r="AC19" s="72"/>
      <c r="AD19" s="3"/>
    </row>
    <row r="20" spans="1:30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21"/>
      <c r="K20" s="121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PRODUCTION. IS '' ;</v>
      </c>
      <c r="V20" s="72"/>
      <c r="W20" s="72"/>
      <c r="X20" s="72"/>
      <c r="Y20" s="72"/>
      <c r="Z20" s="72"/>
      <c r="AA20" s="72"/>
      <c r="AB20" s="72"/>
      <c r="AC20" s="72"/>
      <c r="AD20" s="3"/>
    </row>
    <row r="21" spans="1:30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21"/>
      <c r="K21" s="121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PRODUCTION. IS '' ;</v>
      </c>
      <c r="V21" s="72"/>
      <c r="W21" s="72"/>
      <c r="X21" s="72"/>
      <c r="Y21" s="72"/>
      <c r="Z21" s="72"/>
      <c r="AA21" s="72"/>
      <c r="AB21" s="72"/>
      <c r="AC21" s="72"/>
      <c r="AD21" s="3"/>
    </row>
    <row r="22" spans="1:30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21"/>
      <c r="K22" s="121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PRODUCTION. IS '' ;</v>
      </c>
      <c r="V22" s="72"/>
      <c r="W22" s="72"/>
      <c r="X22" s="72"/>
      <c r="Y22" s="72"/>
      <c r="Z22" s="72"/>
      <c r="AA22" s="72"/>
      <c r="AB22" s="72"/>
      <c r="AC22" s="72"/>
      <c r="AD22" s="3"/>
    </row>
    <row r="23" spans="1:30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21"/>
      <c r="K23" s="121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PRODUCTION. IS '' ;</v>
      </c>
      <c r="V23" s="72"/>
      <c r="W23" s="72"/>
      <c r="X23" s="72"/>
      <c r="Y23" s="72"/>
      <c r="Z23" s="72"/>
      <c r="AA23" s="72"/>
      <c r="AB23" s="72"/>
      <c r="AC23" s="72"/>
      <c r="AD23" s="3"/>
    </row>
    <row r="24" spans="1:30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21"/>
      <c r="K24" s="121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PRODUCTION. IS '' ;</v>
      </c>
      <c r="V24" s="72"/>
      <c r="W24" s="72"/>
      <c r="X24" s="72"/>
      <c r="Y24" s="72"/>
      <c r="Z24" s="72"/>
      <c r="AA24" s="72"/>
      <c r="AB24" s="72"/>
      <c r="AC24" s="72"/>
      <c r="AD24" s="3"/>
    </row>
    <row r="25" spans="1:30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21"/>
      <c r="K25" s="121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PRODUCTION. IS '' ;</v>
      </c>
      <c r="V25" s="72"/>
      <c r="W25" s="72"/>
      <c r="X25" s="72"/>
      <c r="Y25" s="72"/>
      <c r="Z25" s="72"/>
      <c r="AA25" s="72"/>
      <c r="AB25" s="72"/>
      <c r="AC25" s="72"/>
      <c r="AD25" s="3"/>
    </row>
    <row r="26" spans="1:30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21"/>
      <c r="K26" s="121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PRODUCTION. IS '' ;</v>
      </c>
      <c r="V26" s="72"/>
      <c r="W26" s="72"/>
      <c r="X26" s="72"/>
      <c r="Y26" s="72"/>
      <c r="Z26" s="72"/>
      <c r="AA26" s="72"/>
      <c r="AB26" s="72"/>
      <c r="AC26" s="72"/>
      <c r="AD26" s="3"/>
    </row>
    <row r="27" spans="1:30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21"/>
      <c r="K27" s="121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PRODUCTION. IS '' ;</v>
      </c>
      <c r="V27" s="72"/>
      <c r="W27" s="72"/>
      <c r="X27" s="72"/>
      <c r="Y27" s="72"/>
      <c r="Z27" s="72"/>
      <c r="AA27" s="72"/>
      <c r="AB27" s="72"/>
      <c r="AC27" s="72"/>
      <c r="AD27" s="3"/>
    </row>
    <row r="28" spans="1:30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21"/>
      <c r="K28" s="121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PRODUCTION. IS '' ;</v>
      </c>
      <c r="V28" s="72"/>
      <c r="W28" s="72"/>
      <c r="X28" s="72"/>
      <c r="Y28" s="72"/>
      <c r="Z28" s="72"/>
      <c r="AA28" s="72"/>
      <c r="AB28" s="72"/>
      <c r="AC28" s="72"/>
      <c r="AD28" s="3"/>
    </row>
    <row r="29" spans="1:30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21"/>
      <c r="K29" s="121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PRODUCTION. IS '' ;</v>
      </c>
      <c r="V29" s="72"/>
      <c r="W29" s="72"/>
      <c r="X29" s="72"/>
      <c r="Y29" s="72"/>
      <c r="Z29" s="72"/>
      <c r="AA29" s="72"/>
      <c r="AB29" s="72"/>
      <c r="AC29" s="72"/>
      <c r="AD29" s="3"/>
    </row>
    <row r="30" spans="1:30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21"/>
      <c r="K30" s="121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PRODUCTION. IS '' ;</v>
      </c>
      <c r="V30" s="72"/>
      <c r="W30" s="72"/>
      <c r="X30" s="72"/>
      <c r="Y30" s="72"/>
      <c r="Z30" s="72"/>
      <c r="AA30" s="72"/>
      <c r="AB30" s="72"/>
      <c r="AC30" s="72"/>
      <c r="AD30" s="3"/>
    </row>
    <row r="31" spans="1:30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21"/>
      <c r="K31" s="121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PRODUCTION. IS '' ;</v>
      </c>
      <c r="V31" s="72"/>
      <c r="W31" s="72"/>
      <c r="X31" s="72"/>
      <c r="Y31" s="72"/>
      <c r="Z31" s="72"/>
      <c r="AA31" s="72"/>
      <c r="AB31" s="72"/>
      <c r="AC31" s="72"/>
      <c r="AD31" s="3"/>
    </row>
    <row r="32" spans="1:30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21"/>
      <c r="K32" s="121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PRODUCTION. IS '' ;</v>
      </c>
      <c r="V32" s="72"/>
      <c r="W32" s="72"/>
      <c r="X32" s="72"/>
      <c r="Y32" s="72"/>
      <c r="Z32" s="72"/>
      <c r="AA32" s="72"/>
      <c r="AB32" s="72"/>
      <c r="AC32" s="72"/>
      <c r="AD32" s="3"/>
    </row>
    <row r="33" spans="1:30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21"/>
      <c r="K33" s="121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PRODUCTION. IS '' ;</v>
      </c>
      <c r="V33" s="72"/>
      <c r="W33" s="72"/>
      <c r="X33" s="72"/>
      <c r="Y33" s="72"/>
      <c r="Z33" s="72"/>
      <c r="AA33" s="72"/>
      <c r="AB33" s="72"/>
      <c r="AC33" s="72"/>
      <c r="AD33" s="3"/>
    </row>
    <row r="34" spans="1:30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21"/>
      <c r="K34" s="121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PRODUCTION. IS '' ;</v>
      </c>
      <c r="V34" s="72"/>
      <c r="W34" s="72"/>
      <c r="X34" s="72"/>
      <c r="Y34" s="72"/>
      <c r="Z34" s="72"/>
      <c r="AA34" s="72"/>
      <c r="AB34" s="72"/>
      <c r="AC34" s="72"/>
      <c r="AD34" s="3"/>
    </row>
    <row r="35" spans="1:30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21"/>
      <c r="K35" s="121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PRODUCTION. IS '' ;</v>
      </c>
      <c r="V35" s="72"/>
      <c r="W35" s="72"/>
      <c r="X35" s="72"/>
      <c r="Y35" s="72"/>
      <c r="Z35" s="72"/>
      <c r="AA35" s="72"/>
      <c r="AB35" s="72"/>
      <c r="AC35" s="72"/>
      <c r="AD35" s="3"/>
    </row>
    <row r="36" spans="1:30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21"/>
      <c r="K36" s="121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  <c r="AD36" s="3"/>
    </row>
    <row r="37" spans="1:30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21"/>
      <c r="K37" s="121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  <c r="AD37" s="3"/>
    </row>
    <row r="38" spans="1:30">
      <c r="A38" s="40"/>
      <c r="B38" s="41"/>
      <c r="C38" s="41"/>
      <c r="D38" s="43"/>
      <c r="E38" s="43"/>
      <c r="F38" s="43"/>
      <c r="G38" s="50"/>
      <c r="H38" s="43"/>
      <c r="I38" s="44"/>
      <c r="J38" s="146"/>
      <c r="K38" s="146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  <c r="AD38" s="3"/>
    </row>
    <row r="39" spans="1:30">
      <c r="A39" s="42"/>
      <c r="B39" s="41"/>
      <c r="C39" s="41"/>
      <c r="D39" s="43"/>
      <c r="E39" s="43"/>
      <c r="F39" s="43"/>
      <c r="G39" s="43"/>
      <c r="H39" s="43"/>
      <c r="I39" s="44"/>
      <c r="J39" s="57"/>
      <c r="K39" s="57"/>
      <c r="L39" s="28"/>
      <c r="M39" s="8"/>
      <c r="N39" s="71" t="s">
        <v>36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  <c r="AD39" s="3"/>
    </row>
    <row r="40" spans="1:30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1" spans="1:30">
      <c r="A41" s="40"/>
      <c r="B41" s="26"/>
      <c r="C41" s="26"/>
      <c r="D41" s="25"/>
      <c r="E41" s="25"/>
      <c r="F41" s="25"/>
      <c r="G41" s="25"/>
      <c r="H41" s="25"/>
      <c r="I41" s="26"/>
      <c r="J41" s="57"/>
      <c r="K41" s="57"/>
      <c r="L41" s="8"/>
      <c r="M41" s="8"/>
      <c r="N41" s="22"/>
      <c r="O41" s="8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</row>
    <row r="42" spans="1:30">
      <c r="A42" s="77" t="s">
        <v>11</v>
      </c>
      <c r="B42" s="77" t="s">
        <v>30</v>
      </c>
      <c r="C42" s="153" t="s">
        <v>15</v>
      </c>
      <c r="D42" s="153"/>
      <c r="E42" s="153"/>
      <c r="F42" s="153"/>
      <c r="G42" s="153"/>
      <c r="H42" s="77" t="s">
        <v>27</v>
      </c>
      <c r="I42" s="77" t="s">
        <v>17</v>
      </c>
      <c r="J42" s="154" t="s">
        <v>28</v>
      </c>
      <c r="K42" s="155"/>
      <c r="L42" s="156"/>
      <c r="M42" s="78"/>
      <c r="N42" s="79"/>
      <c r="O42" s="79"/>
      <c r="P42" s="80"/>
      <c r="Q42" s="80"/>
      <c r="R42" s="80"/>
      <c r="S42" s="80"/>
      <c r="T42" s="80"/>
      <c r="U42" s="80"/>
      <c r="V42" s="2"/>
      <c r="W42" s="2"/>
      <c r="X42" s="2"/>
      <c r="Y42" s="2"/>
      <c r="Z42" s="2"/>
      <c r="AA42" s="2"/>
      <c r="AB42" s="2"/>
      <c r="AC42" s="2"/>
      <c r="AD42" s="2"/>
    </row>
    <row r="43" spans="1:30">
      <c r="A43" s="81">
        <v>1</v>
      </c>
      <c r="B43" s="64"/>
      <c r="C43" s="149"/>
      <c r="D43" s="149"/>
      <c r="E43" s="149"/>
      <c r="F43" s="149"/>
      <c r="G43" s="149"/>
      <c r="H43" s="81"/>
      <c r="I43" s="82"/>
      <c r="J43" s="150"/>
      <c r="K43" s="151"/>
      <c r="L43" s="152"/>
      <c r="M43" s="83"/>
      <c r="N43" s="79" t="str">
        <f>CONCATENATE("CREATE ", IF(H43&lt;&gt;"", "UNIQUE ", ""),"INDEX ", B43, " ON ", $F$4, "( ",C43, " ) " )</f>
        <v xml:space="preserve">CREATE INDEX  ON PRODUCTION(  ) </v>
      </c>
      <c r="O43" s="79"/>
      <c r="P43" s="80"/>
      <c r="Q43" s="80"/>
      <c r="R43" s="80"/>
      <c r="S43" s="80"/>
      <c r="T43" s="80"/>
      <c r="U43" s="80"/>
      <c r="V43" s="2"/>
      <c r="W43" s="2"/>
      <c r="X43" s="2"/>
      <c r="Y43" s="2"/>
      <c r="Z43" s="2"/>
      <c r="AA43" s="2"/>
      <c r="AB43" s="2"/>
      <c r="AC43" s="2"/>
      <c r="AD43" s="2"/>
    </row>
    <row r="44" spans="1:30">
      <c r="A44" s="81">
        <v>2</v>
      </c>
      <c r="B44" s="64"/>
      <c r="C44" s="149"/>
      <c r="D44" s="149"/>
      <c r="E44" s="149"/>
      <c r="F44" s="149"/>
      <c r="G44" s="149"/>
      <c r="H44" s="81"/>
      <c r="I44" s="82"/>
      <c r="J44" s="150"/>
      <c r="K44" s="151"/>
      <c r="L44" s="152"/>
      <c r="M44" s="83"/>
      <c r="N44" s="79" t="str">
        <f t="shared" ref="N44:N46" si="2">CONCATENATE("CREATE ", IF(H44&lt;&gt;"", "UNIQUE ", ""),"INDEX ", B44, " ON ", $F$4, "( ",C44, " ) " )</f>
        <v xml:space="preserve">CREATE INDEX  ON PRODUCTION(  ) </v>
      </c>
      <c r="O44" s="79"/>
      <c r="P44" s="80"/>
      <c r="Q44" s="80"/>
      <c r="R44" s="80"/>
      <c r="S44" s="80"/>
      <c r="T44" s="80"/>
      <c r="U44" s="80"/>
      <c r="V44" s="2"/>
      <c r="W44" s="2"/>
      <c r="X44" s="2"/>
      <c r="Y44" s="2"/>
      <c r="Z44" s="2"/>
      <c r="AA44" s="2"/>
      <c r="AB44" s="2"/>
      <c r="AC44" s="2"/>
      <c r="AD44" s="2"/>
    </row>
    <row r="45" spans="1:30">
      <c r="A45" s="81">
        <v>3</v>
      </c>
      <c r="B45" s="64"/>
      <c r="C45" s="149"/>
      <c r="D45" s="149"/>
      <c r="E45" s="149"/>
      <c r="F45" s="149"/>
      <c r="G45" s="149"/>
      <c r="H45" s="81"/>
      <c r="I45" s="82"/>
      <c r="J45" s="84"/>
      <c r="K45" s="85"/>
      <c r="L45" s="86"/>
      <c r="M45" s="83"/>
      <c r="N45" s="79" t="str">
        <f t="shared" si="2"/>
        <v xml:space="preserve">CREATE INDEX  ON PRODUCTION(  ) </v>
      </c>
      <c r="O45" s="79"/>
      <c r="P45" s="80"/>
      <c r="Q45" s="80"/>
      <c r="R45" s="80"/>
      <c r="S45" s="80"/>
      <c r="T45" s="80"/>
      <c r="U45" s="80"/>
      <c r="V45" s="2"/>
      <c r="W45" s="2"/>
      <c r="X45" s="2"/>
      <c r="Y45" s="2"/>
      <c r="Z45" s="2"/>
      <c r="AA45" s="2"/>
      <c r="AB45" s="2"/>
      <c r="AC45" s="2"/>
      <c r="AD45" s="2"/>
    </row>
    <row r="46" spans="1:30">
      <c r="A46" s="81">
        <v>4</v>
      </c>
      <c r="B46" s="64"/>
      <c r="C46" s="149"/>
      <c r="D46" s="149"/>
      <c r="E46" s="149"/>
      <c r="F46" s="149"/>
      <c r="G46" s="149"/>
      <c r="H46" s="81"/>
      <c r="I46" s="82"/>
      <c r="J46" s="150"/>
      <c r="K46" s="151"/>
      <c r="L46" s="152"/>
      <c r="M46" s="83"/>
      <c r="N46" s="79" t="str">
        <f t="shared" si="2"/>
        <v xml:space="preserve">CREATE INDEX  ON PRODUCTION(  ) </v>
      </c>
      <c r="O46" s="79"/>
      <c r="P46" s="80"/>
      <c r="Q46" s="80"/>
      <c r="R46" s="80"/>
      <c r="S46" s="80"/>
      <c r="T46" s="80"/>
      <c r="U46" s="80"/>
      <c r="V46" s="2"/>
      <c r="W46" s="2"/>
      <c r="X46" s="2"/>
      <c r="Y46" s="2"/>
      <c r="Z46" s="2"/>
      <c r="AA46" s="2"/>
      <c r="AB46" s="2"/>
      <c r="AC46" s="2"/>
      <c r="AD46" s="2"/>
    </row>
    <row r="47" spans="1:30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2"/>
      <c r="W47" s="2"/>
      <c r="X47" s="2"/>
      <c r="Y47" s="2"/>
      <c r="Z47" s="2"/>
      <c r="AA47" s="2"/>
      <c r="AB47" s="2"/>
      <c r="AC47" s="2"/>
      <c r="AD47" s="2"/>
    </row>
    <row r="48" spans="1:30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2"/>
      <c r="W48" s="2"/>
      <c r="X48" s="2"/>
      <c r="Y48" s="2"/>
      <c r="Z48" s="2"/>
      <c r="AA48" s="2"/>
      <c r="AB48" s="2"/>
      <c r="AC48" s="2"/>
      <c r="AD48" s="2"/>
    </row>
    <row r="49" spans="1:30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2"/>
      <c r="W49" s="2"/>
      <c r="X49" s="2"/>
      <c r="Y49" s="2"/>
      <c r="Z49" s="2"/>
      <c r="AA49" s="2"/>
      <c r="AB49" s="2"/>
      <c r="AC49" s="2"/>
      <c r="AD49" s="2"/>
    </row>
    <row r="50" spans="1:30">
      <c r="A50" s="157" t="s">
        <v>116</v>
      </c>
      <c r="B50" s="157"/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7" t="s">
        <v>119</v>
      </c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2"/>
      <c r="Y50" s="2"/>
      <c r="Z50" s="2"/>
      <c r="AA50" s="2"/>
      <c r="AB50" s="2"/>
      <c r="AC50" s="2"/>
      <c r="AD50" s="2"/>
    </row>
    <row r="51" spans="1:30">
      <c r="A51" s="158"/>
      <c r="B51" s="162" t="s">
        <v>118</v>
      </c>
      <c r="C51" s="163"/>
      <c r="D51" s="163"/>
      <c r="E51" s="163"/>
      <c r="F51" s="164"/>
      <c r="G51" s="162" t="s">
        <v>120</v>
      </c>
      <c r="H51" s="163"/>
      <c r="I51" s="163"/>
      <c r="J51" s="163"/>
      <c r="K51" s="163"/>
      <c r="L51" s="164"/>
      <c r="M51" s="162" t="s">
        <v>118</v>
      </c>
      <c r="N51" s="163"/>
      <c r="O51" s="163"/>
      <c r="P51" s="163"/>
      <c r="Q51" s="164"/>
      <c r="R51" s="162" t="s">
        <v>117</v>
      </c>
      <c r="S51" s="163"/>
      <c r="T51" s="163"/>
      <c r="U51" s="163"/>
      <c r="V51" s="163"/>
      <c r="W51" s="164"/>
      <c r="X51" s="2"/>
      <c r="Y51" s="2"/>
      <c r="Z51" s="2"/>
      <c r="AA51" s="2"/>
      <c r="AB51" s="2"/>
      <c r="AC51" s="2"/>
      <c r="AD51" s="2"/>
    </row>
    <row r="52" spans="1:30">
      <c r="A52" s="29">
        <v>1</v>
      </c>
      <c r="B52" s="159" t="str">
        <f>IF(AND(COUNTA($G$7:$G$37) = 1, LOWER($G7)="y"),"ALTER TABLE " &amp; $F$4 &amp; " ADD CONSTRAINT " &amp; LOWER("pk_" &amp; $F$4 &amp;"_" &amp; $B7)&amp; " PRIMARY KEY( " &amp; $B7 &amp; ");","")</f>
        <v>ALTER TABLE PRODUCTION ADD CONSTRAINT pk_production_productionid PRIMARY KEY( ProductionID);</v>
      </c>
      <c r="C52" s="160"/>
      <c r="D52" s="160"/>
      <c r="E52" s="160"/>
      <c r="F52" s="161"/>
      <c r="G52" s="159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60"/>
      <c r="I52" s="160"/>
      <c r="J52" s="160"/>
      <c r="K52" s="160"/>
      <c r="L52" s="161"/>
      <c r="M52" s="159" t="str">
        <f>IF(B52 &lt;&gt; "", IF(AND(COUNTA($G$7:$G$37) = 1, LOWER($G7)="y"),"ALTER TABLE " &amp; $F$4 &amp; " DROP PRIMARY KEY;",""), "")</f>
        <v>ALTER TABLE PRODUCTION DROP PRIMARY KEY;</v>
      </c>
      <c r="N52" s="160"/>
      <c r="O52" s="160"/>
      <c r="P52" s="160"/>
      <c r="Q52" s="161"/>
      <c r="R52" s="159" t="str">
        <f>IF($H7&lt;&gt;"","ALTER TABLE " &amp; $F$4 &amp; " DROP FOREIGN KEY  `fk_" &amp; LOWER($H7 &amp; "_" &amp; $F$4 &amp; "_" &amp; $B7) &amp; "`;","")</f>
        <v/>
      </c>
      <c r="S52" s="160"/>
      <c r="T52" s="160"/>
      <c r="U52" s="160"/>
      <c r="V52" s="160"/>
      <c r="W52" s="161"/>
      <c r="X52" s="2"/>
      <c r="Y52" s="2"/>
      <c r="Z52" s="2"/>
      <c r="AA52" s="2"/>
      <c r="AB52" s="2"/>
      <c r="AC52" s="2"/>
      <c r="AD52" s="2"/>
    </row>
    <row r="53" spans="1:30">
      <c r="A53" s="29">
        <v>2</v>
      </c>
      <c r="B53" s="159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60"/>
      <c r="D53" s="160"/>
      <c r="E53" s="160"/>
      <c r="F53" s="161"/>
      <c r="G53" s="159" t="str">
        <f>IF($H8&lt;&gt;"","ALTER TABLE " &amp; $F$4 &amp; " ADD CONSTRAINT fk_" &amp; LOWER($H8 &amp; "_" &amp; $F$4 &amp; "_" &amp; $B8) &amp; "  FOREIGN KEY(" &amp; $B8 &amp; " ) REFERENCES " &amp; $H8&amp; "(" &amp; $B8 &amp; ");","")</f>
        <v/>
      </c>
      <c r="H53" s="160"/>
      <c r="I53" s="160"/>
      <c r="J53" s="160"/>
      <c r="K53" s="160"/>
      <c r="L53" s="161"/>
      <c r="M53" s="159" t="str">
        <f t="shared" ref="M53:M82" si="4">IF(B53 &lt;&gt; "", IF(AND(COUNTA($G$7:$G$37) = 1, LOWER($G8)="y"),"ALTER TABLE " &amp; $F$4 &amp; " DROP PRIMARY KEY;",""), "")</f>
        <v/>
      </c>
      <c r="N53" s="160"/>
      <c r="O53" s="160"/>
      <c r="P53" s="160"/>
      <c r="Q53" s="161"/>
      <c r="R53" s="159" t="str">
        <f>IF($H8&lt;&gt;"","ALTER TABLE " &amp; $F$4 &amp; " DROP FOREIGN KEY  `fk_" &amp; LOWER($H8 &amp; "_" &amp; $F$4 &amp; "_" &amp; $B8) &amp; "`;","")</f>
        <v/>
      </c>
      <c r="S53" s="160"/>
      <c r="T53" s="160"/>
      <c r="U53" s="160"/>
      <c r="V53" s="160"/>
      <c r="W53" s="161"/>
    </row>
    <row r="54" spans="1:30">
      <c r="A54" s="29">
        <v>3</v>
      </c>
      <c r="B54" s="159" t="str">
        <f t="shared" si="3"/>
        <v/>
      </c>
      <c r="C54" s="160"/>
      <c r="D54" s="160"/>
      <c r="E54" s="160"/>
      <c r="F54" s="161"/>
      <c r="G54" s="159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/>
      </c>
      <c r="H54" s="160"/>
      <c r="I54" s="160"/>
      <c r="J54" s="160"/>
      <c r="K54" s="160"/>
      <c r="L54" s="161"/>
      <c r="M54" s="159" t="str">
        <f t="shared" si="4"/>
        <v/>
      </c>
      <c r="N54" s="160"/>
      <c r="O54" s="160"/>
      <c r="P54" s="160"/>
      <c r="Q54" s="161"/>
      <c r="R54" s="159" t="str">
        <f t="shared" ref="R54:R82" si="6">IF($H9&lt;&gt;"","ALTER TABLE " &amp; $F$4 &amp; " DROP FOREIGN KEY  `fk_" &amp; LOWER($H9 &amp; "_" &amp; $F$4 &amp; "_" &amp; $B9) &amp; "`;","")</f>
        <v/>
      </c>
      <c r="S54" s="160"/>
      <c r="T54" s="160"/>
      <c r="U54" s="160"/>
      <c r="V54" s="160"/>
      <c r="W54" s="161"/>
    </row>
    <row r="55" spans="1:30">
      <c r="A55" s="29">
        <v>4</v>
      </c>
      <c r="B55" s="159" t="str">
        <f t="shared" si="3"/>
        <v/>
      </c>
      <c r="C55" s="160"/>
      <c r="D55" s="160"/>
      <c r="E55" s="160"/>
      <c r="F55" s="161"/>
      <c r="G55" s="159" t="str">
        <f t="shared" si="5"/>
        <v/>
      </c>
      <c r="H55" s="160"/>
      <c r="I55" s="160"/>
      <c r="J55" s="160"/>
      <c r="K55" s="160"/>
      <c r="L55" s="161"/>
      <c r="M55" s="159" t="str">
        <f t="shared" si="4"/>
        <v/>
      </c>
      <c r="N55" s="160"/>
      <c r="O55" s="160"/>
      <c r="P55" s="160"/>
      <c r="Q55" s="161"/>
      <c r="R55" s="159" t="str">
        <f t="shared" si="6"/>
        <v/>
      </c>
      <c r="S55" s="160"/>
      <c r="T55" s="160"/>
      <c r="U55" s="160"/>
      <c r="V55" s="160"/>
      <c r="W55" s="161"/>
    </row>
    <row r="56" spans="1:30">
      <c r="A56" s="29">
        <v>5</v>
      </c>
      <c r="B56" s="159" t="str">
        <f t="shared" si="3"/>
        <v/>
      </c>
      <c r="C56" s="160"/>
      <c r="D56" s="160"/>
      <c r="E56" s="160"/>
      <c r="F56" s="161"/>
      <c r="G56" s="159" t="str">
        <f t="shared" si="5"/>
        <v/>
      </c>
      <c r="H56" s="160"/>
      <c r="I56" s="160"/>
      <c r="J56" s="160"/>
      <c r="K56" s="160"/>
      <c r="L56" s="161"/>
      <c r="M56" s="159" t="str">
        <f t="shared" si="4"/>
        <v/>
      </c>
      <c r="N56" s="160"/>
      <c r="O56" s="160"/>
      <c r="P56" s="160"/>
      <c r="Q56" s="161"/>
      <c r="R56" s="159" t="str">
        <f t="shared" si="6"/>
        <v/>
      </c>
      <c r="S56" s="160"/>
      <c r="T56" s="160"/>
      <c r="U56" s="160"/>
      <c r="V56" s="160"/>
      <c r="W56" s="161"/>
    </row>
    <row r="57" spans="1:30">
      <c r="A57" s="29">
        <v>6</v>
      </c>
      <c r="B57" s="159" t="str">
        <f t="shared" si="3"/>
        <v/>
      </c>
      <c r="C57" s="160"/>
      <c r="D57" s="160"/>
      <c r="E57" s="160"/>
      <c r="F57" s="161"/>
      <c r="G57" s="159" t="str">
        <f t="shared" si="5"/>
        <v/>
      </c>
      <c r="H57" s="160"/>
      <c r="I57" s="160"/>
      <c r="J57" s="160"/>
      <c r="K57" s="160"/>
      <c r="L57" s="161"/>
      <c r="M57" s="159" t="str">
        <f t="shared" si="4"/>
        <v/>
      </c>
      <c r="N57" s="160"/>
      <c r="O57" s="160"/>
      <c r="P57" s="160"/>
      <c r="Q57" s="161"/>
      <c r="R57" s="159" t="str">
        <f t="shared" si="6"/>
        <v/>
      </c>
      <c r="S57" s="160"/>
      <c r="T57" s="160"/>
      <c r="U57" s="160"/>
      <c r="V57" s="160"/>
      <c r="W57" s="161"/>
    </row>
    <row r="58" spans="1:30">
      <c r="A58" s="29">
        <v>7</v>
      </c>
      <c r="B58" s="159" t="str">
        <f t="shared" si="3"/>
        <v/>
      </c>
      <c r="C58" s="160"/>
      <c r="D58" s="160"/>
      <c r="E58" s="160"/>
      <c r="F58" s="161"/>
      <c r="G58" s="159" t="str">
        <f t="shared" si="5"/>
        <v/>
      </c>
      <c r="H58" s="160"/>
      <c r="I58" s="160"/>
      <c r="J58" s="160"/>
      <c r="K58" s="160"/>
      <c r="L58" s="161"/>
      <c r="M58" s="159" t="str">
        <f t="shared" si="4"/>
        <v/>
      </c>
      <c r="N58" s="160"/>
      <c r="O58" s="160"/>
      <c r="P58" s="160"/>
      <c r="Q58" s="161"/>
      <c r="R58" s="159" t="str">
        <f t="shared" si="6"/>
        <v/>
      </c>
      <c r="S58" s="160"/>
      <c r="T58" s="160"/>
      <c r="U58" s="160"/>
      <c r="V58" s="160"/>
      <c r="W58" s="161"/>
    </row>
    <row r="59" spans="1:30">
      <c r="A59" s="29">
        <v>8</v>
      </c>
      <c r="B59" s="159" t="str">
        <f t="shared" si="3"/>
        <v/>
      </c>
      <c r="C59" s="160"/>
      <c r="D59" s="160"/>
      <c r="E59" s="160"/>
      <c r="F59" s="161"/>
      <c r="G59" s="159" t="str">
        <f t="shared" si="5"/>
        <v/>
      </c>
      <c r="H59" s="160"/>
      <c r="I59" s="160"/>
      <c r="J59" s="160"/>
      <c r="K59" s="160"/>
      <c r="L59" s="161"/>
      <c r="M59" s="159" t="str">
        <f t="shared" si="4"/>
        <v/>
      </c>
      <c r="N59" s="160"/>
      <c r="O59" s="160"/>
      <c r="P59" s="160"/>
      <c r="Q59" s="161"/>
      <c r="R59" s="159" t="str">
        <f t="shared" si="6"/>
        <v/>
      </c>
      <c r="S59" s="160"/>
      <c r="T59" s="160"/>
      <c r="U59" s="160"/>
      <c r="V59" s="160"/>
      <c r="W59" s="161"/>
    </row>
    <row r="60" spans="1:30">
      <c r="A60" s="29">
        <v>9</v>
      </c>
      <c r="B60" s="159" t="str">
        <f t="shared" si="3"/>
        <v/>
      </c>
      <c r="C60" s="160"/>
      <c r="D60" s="160"/>
      <c r="E60" s="160"/>
      <c r="F60" s="161"/>
      <c r="G60" s="159" t="str">
        <f t="shared" si="5"/>
        <v/>
      </c>
      <c r="H60" s="160"/>
      <c r="I60" s="160"/>
      <c r="J60" s="160"/>
      <c r="K60" s="160"/>
      <c r="L60" s="161"/>
      <c r="M60" s="159" t="str">
        <f t="shared" si="4"/>
        <v/>
      </c>
      <c r="N60" s="160"/>
      <c r="O60" s="160"/>
      <c r="P60" s="160"/>
      <c r="Q60" s="161"/>
      <c r="R60" s="159" t="str">
        <f t="shared" si="6"/>
        <v/>
      </c>
      <c r="S60" s="160"/>
      <c r="T60" s="160"/>
      <c r="U60" s="160"/>
      <c r="V60" s="160"/>
      <c r="W60" s="161"/>
    </row>
    <row r="61" spans="1:30">
      <c r="A61" s="29">
        <v>10</v>
      </c>
      <c r="B61" s="159" t="str">
        <f t="shared" si="3"/>
        <v/>
      </c>
      <c r="C61" s="160"/>
      <c r="D61" s="160"/>
      <c r="E61" s="160"/>
      <c r="F61" s="161"/>
      <c r="G61" s="159" t="str">
        <f t="shared" si="5"/>
        <v/>
      </c>
      <c r="H61" s="160"/>
      <c r="I61" s="160"/>
      <c r="J61" s="160"/>
      <c r="K61" s="160"/>
      <c r="L61" s="161"/>
      <c r="M61" s="159" t="str">
        <f t="shared" si="4"/>
        <v/>
      </c>
      <c r="N61" s="160"/>
      <c r="O61" s="160"/>
      <c r="P61" s="160"/>
      <c r="Q61" s="161"/>
      <c r="R61" s="159" t="str">
        <f t="shared" si="6"/>
        <v/>
      </c>
      <c r="S61" s="160"/>
      <c r="T61" s="160"/>
      <c r="U61" s="160"/>
      <c r="V61" s="160"/>
      <c r="W61" s="161"/>
    </row>
    <row r="62" spans="1:30">
      <c r="A62" s="29">
        <v>11</v>
      </c>
      <c r="B62" s="159" t="str">
        <f t="shared" si="3"/>
        <v/>
      </c>
      <c r="C62" s="160"/>
      <c r="D62" s="160"/>
      <c r="E62" s="160"/>
      <c r="F62" s="161"/>
      <c r="G62" s="159" t="str">
        <f t="shared" si="5"/>
        <v/>
      </c>
      <c r="H62" s="160"/>
      <c r="I62" s="160"/>
      <c r="J62" s="160"/>
      <c r="K62" s="160"/>
      <c r="L62" s="161"/>
      <c r="M62" s="159" t="str">
        <f t="shared" si="4"/>
        <v/>
      </c>
      <c r="N62" s="160"/>
      <c r="O62" s="160"/>
      <c r="P62" s="160"/>
      <c r="Q62" s="161"/>
      <c r="R62" s="159" t="str">
        <f t="shared" si="6"/>
        <v/>
      </c>
      <c r="S62" s="160"/>
      <c r="T62" s="160"/>
      <c r="U62" s="160"/>
      <c r="V62" s="160"/>
      <c r="W62" s="161"/>
    </row>
    <row r="63" spans="1:30">
      <c r="A63" s="29">
        <v>12</v>
      </c>
      <c r="B63" s="159" t="str">
        <f t="shared" si="3"/>
        <v/>
      </c>
      <c r="C63" s="160"/>
      <c r="D63" s="160"/>
      <c r="E63" s="160"/>
      <c r="F63" s="161"/>
      <c r="G63" s="159" t="str">
        <f t="shared" si="5"/>
        <v/>
      </c>
      <c r="H63" s="160"/>
      <c r="I63" s="160"/>
      <c r="J63" s="160"/>
      <c r="K63" s="160"/>
      <c r="L63" s="161"/>
      <c r="M63" s="159" t="str">
        <f t="shared" si="4"/>
        <v/>
      </c>
      <c r="N63" s="160"/>
      <c r="O63" s="160"/>
      <c r="P63" s="160"/>
      <c r="Q63" s="161"/>
      <c r="R63" s="159" t="str">
        <f t="shared" si="6"/>
        <v/>
      </c>
      <c r="S63" s="160"/>
      <c r="T63" s="160"/>
      <c r="U63" s="160"/>
      <c r="V63" s="160"/>
      <c r="W63" s="161"/>
    </row>
    <row r="64" spans="1:30">
      <c r="A64" s="29">
        <v>13</v>
      </c>
      <c r="B64" s="159" t="str">
        <f t="shared" si="3"/>
        <v/>
      </c>
      <c r="C64" s="160"/>
      <c r="D64" s="160"/>
      <c r="E64" s="160"/>
      <c r="F64" s="161"/>
      <c r="G64" s="159" t="str">
        <f t="shared" si="5"/>
        <v/>
      </c>
      <c r="H64" s="160"/>
      <c r="I64" s="160"/>
      <c r="J64" s="160"/>
      <c r="K64" s="160"/>
      <c r="L64" s="161"/>
      <c r="M64" s="159" t="str">
        <f t="shared" si="4"/>
        <v/>
      </c>
      <c r="N64" s="160"/>
      <c r="O64" s="160"/>
      <c r="P64" s="160"/>
      <c r="Q64" s="161"/>
      <c r="R64" s="159" t="str">
        <f t="shared" si="6"/>
        <v/>
      </c>
      <c r="S64" s="160"/>
      <c r="T64" s="160"/>
      <c r="U64" s="160"/>
      <c r="V64" s="160"/>
      <c r="W64" s="161"/>
    </row>
    <row r="65" spans="1:23">
      <c r="A65" s="29">
        <v>14</v>
      </c>
      <c r="B65" s="159" t="str">
        <f t="shared" si="3"/>
        <v/>
      </c>
      <c r="C65" s="160"/>
      <c r="D65" s="160"/>
      <c r="E65" s="160"/>
      <c r="F65" s="161"/>
      <c r="G65" s="159" t="str">
        <f t="shared" si="5"/>
        <v/>
      </c>
      <c r="H65" s="160"/>
      <c r="I65" s="160"/>
      <c r="J65" s="160"/>
      <c r="K65" s="160"/>
      <c r="L65" s="161"/>
      <c r="M65" s="159" t="str">
        <f t="shared" si="4"/>
        <v/>
      </c>
      <c r="N65" s="160"/>
      <c r="O65" s="160"/>
      <c r="P65" s="160"/>
      <c r="Q65" s="161"/>
      <c r="R65" s="159" t="str">
        <f t="shared" si="6"/>
        <v/>
      </c>
      <c r="S65" s="160"/>
      <c r="T65" s="160"/>
      <c r="U65" s="160"/>
      <c r="V65" s="160"/>
      <c r="W65" s="161"/>
    </row>
    <row r="66" spans="1:23">
      <c r="A66" s="29">
        <v>15</v>
      </c>
      <c r="B66" s="159" t="str">
        <f t="shared" si="3"/>
        <v/>
      </c>
      <c r="C66" s="160"/>
      <c r="D66" s="160"/>
      <c r="E66" s="160"/>
      <c r="F66" s="161"/>
      <c r="G66" s="159" t="str">
        <f t="shared" si="5"/>
        <v/>
      </c>
      <c r="H66" s="160"/>
      <c r="I66" s="160"/>
      <c r="J66" s="160"/>
      <c r="K66" s="160"/>
      <c r="L66" s="161"/>
      <c r="M66" s="159" t="str">
        <f t="shared" si="4"/>
        <v/>
      </c>
      <c r="N66" s="160"/>
      <c r="O66" s="160"/>
      <c r="P66" s="160"/>
      <c r="Q66" s="161"/>
      <c r="R66" s="159" t="str">
        <f t="shared" si="6"/>
        <v/>
      </c>
      <c r="S66" s="160"/>
      <c r="T66" s="160"/>
      <c r="U66" s="160"/>
      <c r="V66" s="160"/>
      <c r="W66" s="161"/>
    </row>
    <row r="67" spans="1:23">
      <c r="A67" s="29">
        <v>16</v>
      </c>
      <c r="B67" s="159" t="str">
        <f t="shared" si="3"/>
        <v/>
      </c>
      <c r="C67" s="160"/>
      <c r="D67" s="160"/>
      <c r="E67" s="160"/>
      <c r="F67" s="161"/>
      <c r="G67" s="159" t="str">
        <f t="shared" si="5"/>
        <v/>
      </c>
      <c r="H67" s="160"/>
      <c r="I67" s="160"/>
      <c r="J67" s="160"/>
      <c r="K67" s="160"/>
      <c r="L67" s="161"/>
      <c r="M67" s="159" t="str">
        <f t="shared" si="4"/>
        <v/>
      </c>
      <c r="N67" s="160"/>
      <c r="O67" s="160"/>
      <c r="P67" s="160"/>
      <c r="Q67" s="161"/>
      <c r="R67" s="159" t="str">
        <f t="shared" si="6"/>
        <v/>
      </c>
      <c r="S67" s="160"/>
      <c r="T67" s="160"/>
      <c r="U67" s="160"/>
      <c r="V67" s="160"/>
      <c r="W67" s="161"/>
    </row>
    <row r="68" spans="1:23">
      <c r="A68" s="29">
        <v>17</v>
      </c>
      <c r="B68" s="159" t="str">
        <f t="shared" si="3"/>
        <v/>
      </c>
      <c r="C68" s="160"/>
      <c r="D68" s="160"/>
      <c r="E68" s="160"/>
      <c r="F68" s="161"/>
      <c r="G68" s="159" t="str">
        <f t="shared" si="5"/>
        <v/>
      </c>
      <c r="H68" s="160"/>
      <c r="I68" s="160"/>
      <c r="J68" s="160"/>
      <c r="K68" s="160"/>
      <c r="L68" s="161"/>
      <c r="M68" s="159" t="str">
        <f t="shared" si="4"/>
        <v/>
      </c>
      <c r="N68" s="160"/>
      <c r="O68" s="160"/>
      <c r="P68" s="160"/>
      <c r="Q68" s="161"/>
      <c r="R68" s="159" t="str">
        <f t="shared" si="6"/>
        <v/>
      </c>
      <c r="S68" s="160"/>
      <c r="T68" s="160"/>
      <c r="U68" s="160"/>
      <c r="V68" s="160"/>
      <c r="W68" s="161"/>
    </row>
    <row r="69" spans="1:23">
      <c r="A69" s="29">
        <v>18</v>
      </c>
      <c r="B69" s="159" t="str">
        <f t="shared" si="3"/>
        <v/>
      </c>
      <c r="C69" s="160"/>
      <c r="D69" s="160"/>
      <c r="E69" s="160"/>
      <c r="F69" s="161"/>
      <c r="G69" s="159" t="str">
        <f t="shared" si="5"/>
        <v/>
      </c>
      <c r="H69" s="160"/>
      <c r="I69" s="160"/>
      <c r="J69" s="160"/>
      <c r="K69" s="160"/>
      <c r="L69" s="161"/>
      <c r="M69" s="159" t="str">
        <f t="shared" si="4"/>
        <v/>
      </c>
      <c r="N69" s="160"/>
      <c r="O69" s="160"/>
      <c r="P69" s="160"/>
      <c r="Q69" s="161"/>
      <c r="R69" s="159" t="str">
        <f t="shared" si="6"/>
        <v/>
      </c>
      <c r="S69" s="160"/>
      <c r="T69" s="160"/>
      <c r="U69" s="160"/>
      <c r="V69" s="160"/>
      <c r="W69" s="161"/>
    </row>
    <row r="70" spans="1:23">
      <c r="A70" s="29">
        <v>19</v>
      </c>
      <c r="B70" s="159" t="str">
        <f t="shared" si="3"/>
        <v/>
      </c>
      <c r="C70" s="160"/>
      <c r="D70" s="160"/>
      <c r="E70" s="160"/>
      <c r="F70" s="161"/>
      <c r="G70" s="159" t="str">
        <f t="shared" si="5"/>
        <v/>
      </c>
      <c r="H70" s="160"/>
      <c r="I70" s="160"/>
      <c r="J70" s="160"/>
      <c r="K70" s="160"/>
      <c r="L70" s="161"/>
      <c r="M70" s="159" t="str">
        <f t="shared" si="4"/>
        <v/>
      </c>
      <c r="N70" s="160"/>
      <c r="O70" s="160"/>
      <c r="P70" s="160"/>
      <c r="Q70" s="161"/>
      <c r="R70" s="159" t="str">
        <f t="shared" si="6"/>
        <v/>
      </c>
      <c r="S70" s="160"/>
      <c r="T70" s="160"/>
      <c r="U70" s="160"/>
      <c r="V70" s="160"/>
      <c r="W70" s="161"/>
    </row>
    <row r="71" spans="1:23">
      <c r="A71" s="29">
        <v>20</v>
      </c>
      <c r="B71" s="159" t="str">
        <f t="shared" si="3"/>
        <v/>
      </c>
      <c r="C71" s="160"/>
      <c r="D71" s="160"/>
      <c r="E71" s="160"/>
      <c r="F71" s="161"/>
      <c r="G71" s="159" t="str">
        <f t="shared" si="5"/>
        <v/>
      </c>
      <c r="H71" s="160"/>
      <c r="I71" s="160"/>
      <c r="J71" s="160"/>
      <c r="K71" s="160"/>
      <c r="L71" s="161"/>
      <c r="M71" s="159" t="str">
        <f t="shared" si="4"/>
        <v/>
      </c>
      <c r="N71" s="160"/>
      <c r="O71" s="160"/>
      <c r="P71" s="160"/>
      <c r="Q71" s="161"/>
      <c r="R71" s="159" t="str">
        <f t="shared" si="6"/>
        <v/>
      </c>
      <c r="S71" s="160"/>
      <c r="T71" s="160"/>
      <c r="U71" s="160"/>
      <c r="V71" s="160"/>
      <c r="W71" s="161"/>
    </row>
    <row r="72" spans="1:23">
      <c r="A72" s="29">
        <v>21</v>
      </c>
      <c r="B72" s="159" t="str">
        <f t="shared" si="3"/>
        <v/>
      </c>
      <c r="C72" s="160"/>
      <c r="D72" s="160"/>
      <c r="E72" s="160"/>
      <c r="F72" s="161"/>
      <c r="G72" s="159" t="str">
        <f t="shared" si="5"/>
        <v/>
      </c>
      <c r="H72" s="160"/>
      <c r="I72" s="160"/>
      <c r="J72" s="160"/>
      <c r="K72" s="160"/>
      <c r="L72" s="161"/>
      <c r="M72" s="159" t="str">
        <f t="shared" si="4"/>
        <v/>
      </c>
      <c r="N72" s="160"/>
      <c r="O72" s="160"/>
      <c r="P72" s="160"/>
      <c r="Q72" s="161"/>
      <c r="R72" s="159" t="str">
        <f t="shared" si="6"/>
        <v/>
      </c>
      <c r="S72" s="160"/>
      <c r="T72" s="160"/>
      <c r="U72" s="160"/>
      <c r="V72" s="160"/>
      <c r="W72" s="161"/>
    </row>
    <row r="73" spans="1:23">
      <c r="A73" s="29">
        <v>22</v>
      </c>
      <c r="B73" s="159" t="str">
        <f t="shared" si="3"/>
        <v/>
      </c>
      <c r="C73" s="160"/>
      <c r="D73" s="160"/>
      <c r="E73" s="160"/>
      <c r="F73" s="161"/>
      <c r="G73" s="159" t="str">
        <f t="shared" si="5"/>
        <v/>
      </c>
      <c r="H73" s="160"/>
      <c r="I73" s="160"/>
      <c r="J73" s="160"/>
      <c r="K73" s="160"/>
      <c r="L73" s="161"/>
      <c r="M73" s="159" t="str">
        <f t="shared" si="4"/>
        <v/>
      </c>
      <c r="N73" s="160"/>
      <c r="O73" s="160"/>
      <c r="P73" s="160"/>
      <c r="Q73" s="161"/>
      <c r="R73" s="159" t="str">
        <f t="shared" si="6"/>
        <v/>
      </c>
      <c r="S73" s="160"/>
      <c r="T73" s="160"/>
      <c r="U73" s="160"/>
      <c r="V73" s="160"/>
      <c r="W73" s="161"/>
    </row>
    <row r="74" spans="1:23">
      <c r="A74" s="29">
        <v>23</v>
      </c>
      <c r="B74" s="159" t="str">
        <f t="shared" si="3"/>
        <v/>
      </c>
      <c r="C74" s="160"/>
      <c r="D74" s="160"/>
      <c r="E74" s="160"/>
      <c r="F74" s="161"/>
      <c r="G74" s="159" t="str">
        <f t="shared" si="5"/>
        <v/>
      </c>
      <c r="H74" s="160"/>
      <c r="I74" s="160"/>
      <c r="J74" s="160"/>
      <c r="K74" s="160"/>
      <c r="L74" s="161"/>
      <c r="M74" s="159" t="str">
        <f t="shared" si="4"/>
        <v/>
      </c>
      <c r="N74" s="160"/>
      <c r="O74" s="160"/>
      <c r="P74" s="160"/>
      <c r="Q74" s="161"/>
      <c r="R74" s="159" t="str">
        <f t="shared" si="6"/>
        <v/>
      </c>
      <c r="S74" s="160"/>
      <c r="T74" s="160"/>
      <c r="U74" s="160"/>
      <c r="V74" s="160"/>
      <c r="W74" s="161"/>
    </row>
    <row r="75" spans="1:23">
      <c r="A75" s="29">
        <v>24</v>
      </c>
      <c r="B75" s="159" t="str">
        <f t="shared" si="3"/>
        <v/>
      </c>
      <c r="C75" s="160"/>
      <c r="D75" s="160"/>
      <c r="E75" s="160"/>
      <c r="F75" s="161"/>
      <c r="G75" s="159" t="str">
        <f t="shared" si="5"/>
        <v/>
      </c>
      <c r="H75" s="160"/>
      <c r="I75" s="160"/>
      <c r="J75" s="160"/>
      <c r="K75" s="160"/>
      <c r="L75" s="161"/>
      <c r="M75" s="159" t="str">
        <f t="shared" si="4"/>
        <v/>
      </c>
      <c r="N75" s="160"/>
      <c r="O75" s="160"/>
      <c r="P75" s="160"/>
      <c r="Q75" s="161"/>
      <c r="R75" s="159" t="str">
        <f t="shared" si="6"/>
        <v/>
      </c>
      <c r="S75" s="160"/>
      <c r="T75" s="160"/>
      <c r="U75" s="160"/>
      <c r="V75" s="160"/>
      <c r="W75" s="161"/>
    </row>
    <row r="76" spans="1:23">
      <c r="A76" s="29">
        <v>25</v>
      </c>
      <c r="B76" s="159" t="str">
        <f t="shared" si="3"/>
        <v/>
      </c>
      <c r="C76" s="160"/>
      <c r="D76" s="160"/>
      <c r="E76" s="160"/>
      <c r="F76" s="161"/>
      <c r="G76" s="159" t="str">
        <f t="shared" si="5"/>
        <v/>
      </c>
      <c r="H76" s="160"/>
      <c r="I76" s="160"/>
      <c r="J76" s="160"/>
      <c r="K76" s="160"/>
      <c r="L76" s="161"/>
      <c r="M76" s="159" t="str">
        <f t="shared" si="4"/>
        <v/>
      </c>
      <c r="N76" s="160"/>
      <c r="O76" s="160"/>
      <c r="P76" s="160"/>
      <c r="Q76" s="161"/>
      <c r="R76" s="159" t="str">
        <f t="shared" si="6"/>
        <v/>
      </c>
      <c r="S76" s="160"/>
      <c r="T76" s="160"/>
      <c r="U76" s="160"/>
      <c r="V76" s="160"/>
      <c r="W76" s="161"/>
    </row>
    <row r="77" spans="1:23">
      <c r="A77" s="29">
        <v>26</v>
      </c>
      <c r="B77" s="159" t="str">
        <f t="shared" si="3"/>
        <v/>
      </c>
      <c r="C77" s="160"/>
      <c r="D77" s="160"/>
      <c r="E77" s="160"/>
      <c r="F77" s="161"/>
      <c r="G77" s="159" t="str">
        <f t="shared" si="5"/>
        <v/>
      </c>
      <c r="H77" s="160"/>
      <c r="I77" s="160"/>
      <c r="J77" s="160"/>
      <c r="K77" s="160"/>
      <c r="L77" s="161"/>
      <c r="M77" s="159" t="str">
        <f t="shared" si="4"/>
        <v/>
      </c>
      <c r="N77" s="160"/>
      <c r="O77" s="160"/>
      <c r="P77" s="160"/>
      <c r="Q77" s="161"/>
      <c r="R77" s="159" t="str">
        <f t="shared" si="6"/>
        <v/>
      </c>
      <c r="S77" s="160"/>
      <c r="T77" s="160"/>
      <c r="U77" s="160"/>
      <c r="V77" s="160"/>
      <c r="W77" s="161"/>
    </row>
    <row r="78" spans="1:23">
      <c r="A78" s="29">
        <v>27</v>
      </c>
      <c r="B78" s="159" t="str">
        <f t="shared" si="3"/>
        <v/>
      </c>
      <c r="C78" s="160"/>
      <c r="D78" s="160"/>
      <c r="E78" s="160"/>
      <c r="F78" s="161"/>
      <c r="G78" s="159" t="str">
        <f t="shared" si="5"/>
        <v/>
      </c>
      <c r="H78" s="160"/>
      <c r="I78" s="160"/>
      <c r="J78" s="160"/>
      <c r="K78" s="160"/>
      <c r="L78" s="161"/>
      <c r="M78" s="159" t="str">
        <f t="shared" si="4"/>
        <v/>
      </c>
      <c r="N78" s="160"/>
      <c r="O78" s="160"/>
      <c r="P78" s="160"/>
      <c r="Q78" s="161"/>
      <c r="R78" s="159" t="str">
        <f t="shared" si="6"/>
        <v/>
      </c>
      <c r="S78" s="160"/>
      <c r="T78" s="160"/>
      <c r="U78" s="160"/>
      <c r="V78" s="160"/>
      <c r="W78" s="161"/>
    </row>
    <row r="79" spans="1:23">
      <c r="A79" s="29">
        <v>28</v>
      </c>
      <c r="B79" s="159" t="str">
        <f t="shared" si="3"/>
        <v/>
      </c>
      <c r="C79" s="160"/>
      <c r="D79" s="160"/>
      <c r="E79" s="160"/>
      <c r="F79" s="161"/>
      <c r="G79" s="159" t="str">
        <f t="shared" si="5"/>
        <v/>
      </c>
      <c r="H79" s="160"/>
      <c r="I79" s="160"/>
      <c r="J79" s="160"/>
      <c r="K79" s="160"/>
      <c r="L79" s="161"/>
      <c r="M79" s="159" t="str">
        <f t="shared" si="4"/>
        <v/>
      </c>
      <c r="N79" s="160"/>
      <c r="O79" s="160"/>
      <c r="P79" s="160"/>
      <c r="Q79" s="161"/>
      <c r="R79" s="159" t="str">
        <f t="shared" si="6"/>
        <v/>
      </c>
      <c r="S79" s="160"/>
      <c r="T79" s="160"/>
      <c r="U79" s="160"/>
      <c r="V79" s="160"/>
      <c r="W79" s="161"/>
    </row>
    <row r="80" spans="1:23">
      <c r="A80" s="29">
        <v>29</v>
      </c>
      <c r="B80" s="159" t="str">
        <f t="shared" si="3"/>
        <v/>
      </c>
      <c r="C80" s="160"/>
      <c r="D80" s="160"/>
      <c r="E80" s="160"/>
      <c r="F80" s="161"/>
      <c r="G80" s="159" t="str">
        <f t="shared" si="5"/>
        <v/>
      </c>
      <c r="H80" s="160"/>
      <c r="I80" s="160"/>
      <c r="J80" s="160"/>
      <c r="K80" s="160"/>
      <c r="L80" s="161"/>
      <c r="M80" s="159" t="str">
        <f t="shared" si="4"/>
        <v/>
      </c>
      <c r="N80" s="160"/>
      <c r="O80" s="160"/>
      <c r="P80" s="160"/>
      <c r="Q80" s="161"/>
      <c r="R80" s="159" t="str">
        <f t="shared" si="6"/>
        <v/>
      </c>
      <c r="S80" s="160"/>
      <c r="T80" s="160"/>
      <c r="U80" s="160"/>
      <c r="V80" s="160"/>
      <c r="W80" s="161"/>
    </row>
    <row r="81" spans="1:23">
      <c r="A81" s="29">
        <v>30</v>
      </c>
      <c r="B81" s="159" t="str">
        <f t="shared" si="3"/>
        <v/>
      </c>
      <c r="C81" s="160"/>
      <c r="D81" s="160"/>
      <c r="E81" s="160"/>
      <c r="F81" s="161"/>
      <c r="G81" s="159" t="str">
        <f t="shared" si="5"/>
        <v/>
      </c>
      <c r="H81" s="160"/>
      <c r="I81" s="160"/>
      <c r="J81" s="160"/>
      <c r="K81" s="160"/>
      <c r="L81" s="161"/>
      <c r="M81" s="159" t="str">
        <f t="shared" si="4"/>
        <v/>
      </c>
      <c r="N81" s="160"/>
      <c r="O81" s="160"/>
      <c r="P81" s="160"/>
      <c r="Q81" s="161"/>
      <c r="R81" s="159" t="str">
        <f t="shared" si="6"/>
        <v/>
      </c>
      <c r="S81" s="160"/>
      <c r="T81" s="160"/>
      <c r="U81" s="160"/>
      <c r="V81" s="160"/>
      <c r="W81" s="161"/>
    </row>
    <row r="82" spans="1:23">
      <c r="A82" s="29">
        <v>31</v>
      </c>
      <c r="B82" s="159" t="str">
        <f t="shared" si="3"/>
        <v/>
      </c>
      <c r="C82" s="160"/>
      <c r="D82" s="160"/>
      <c r="E82" s="160"/>
      <c r="F82" s="161"/>
      <c r="G82" s="159" t="str">
        <f t="shared" si="5"/>
        <v/>
      </c>
      <c r="H82" s="160"/>
      <c r="I82" s="160"/>
      <c r="J82" s="160"/>
      <c r="K82" s="160"/>
      <c r="L82" s="161"/>
      <c r="M82" s="159" t="str">
        <f t="shared" si="4"/>
        <v/>
      </c>
      <c r="N82" s="160"/>
      <c r="O82" s="160"/>
      <c r="P82" s="160"/>
      <c r="Q82" s="161"/>
      <c r="R82" s="159" t="str">
        <f t="shared" si="6"/>
        <v/>
      </c>
      <c r="S82" s="160"/>
      <c r="T82" s="160"/>
      <c r="U82" s="160"/>
      <c r="V82" s="160"/>
      <c r="W82" s="161"/>
    </row>
  </sheetData>
  <mergeCells count="190">
    <mergeCell ref="M80:Q80"/>
    <mergeCell ref="R80:W80"/>
    <mergeCell ref="M81:Q81"/>
    <mergeCell ref="R81:W81"/>
    <mergeCell ref="M82:Q82"/>
    <mergeCell ref="R82:W82"/>
    <mergeCell ref="M77:Q77"/>
    <mergeCell ref="R77:W77"/>
    <mergeCell ref="M78:Q78"/>
    <mergeCell ref="R78:W78"/>
    <mergeCell ref="M79:Q79"/>
    <mergeCell ref="R79:W79"/>
    <mergeCell ref="M74:Q74"/>
    <mergeCell ref="R74:W74"/>
    <mergeCell ref="M75:Q75"/>
    <mergeCell ref="R75:W75"/>
    <mergeCell ref="M76:Q76"/>
    <mergeCell ref="R76:W76"/>
    <mergeCell ref="M71:Q71"/>
    <mergeCell ref="R71:W71"/>
    <mergeCell ref="M72:Q72"/>
    <mergeCell ref="R72:W72"/>
    <mergeCell ref="M73:Q73"/>
    <mergeCell ref="R73:W73"/>
    <mergeCell ref="M68:Q68"/>
    <mergeCell ref="R68:W68"/>
    <mergeCell ref="M69:Q69"/>
    <mergeCell ref="R69:W69"/>
    <mergeCell ref="M70:Q70"/>
    <mergeCell ref="R70:W70"/>
    <mergeCell ref="M65:Q65"/>
    <mergeCell ref="R65:W65"/>
    <mergeCell ref="M66:Q66"/>
    <mergeCell ref="R66:W66"/>
    <mergeCell ref="M67:Q67"/>
    <mergeCell ref="R67:W67"/>
    <mergeCell ref="M62:Q62"/>
    <mergeCell ref="R62:W62"/>
    <mergeCell ref="M63:Q63"/>
    <mergeCell ref="R63:W63"/>
    <mergeCell ref="M64:Q64"/>
    <mergeCell ref="R64:W64"/>
    <mergeCell ref="M59:Q59"/>
    <mergeCell ref="R59:W59"/>
    <mergeCell ref="M60:Q60"/>
    <mergeCell ref="R60:W60"/>
    <mergeCell ref="M61:Q61"/>
    <mergeCell ref="R61:W61"/>
    <mergeCell ref="M56:Q56"/>
    <mergeCell ref="R56:W56"/>
    <mergeCell ref="M57:Q57"/>
    <mergeCell ref="R57:W57"/>
    <mergeCell ref="M58:Q58"/>
    <mergeCell ref="R58:W58"/>
    <mergeCell ref="M53:Q53"/>
    <mergeCell ref="R53:W53"/>
    <mergeCell ref="M54:Q54"/>
    <mergeCell ref="R54:W54"/>
    <mergeCell ref="M55:Q55"/>
    <mergeCell ref="R55:W55"/>
    <mergeCell ref="M50:W50"/>
    <mergeCell ref="M51:Q51"/>
    <mergeCell ref="R51:W51"/>
    <mergeCell ref="M52:Q52"/>
    <mergeCell ref="R52:W52"/>
    <mergeCell ref="B80:F80"/>
    <mergeCell ref="G80:L80"/>
    <mergeCell ref="B81:F81"/>
    <mergeCell ref="G81:L81"/>
    <mergeCell ref="B82:F82"/>
    <mergeCell ref="G82:L82"/>
    <mergeCell ref="B77:F77"/>
    <mergeCell ref="G77:L77"/>
    <mergeCell ref="B78:F78"/>
    <mergeCell ref="G78:L78"/>
    <mergeCell ref="B79:F79"/>
    <mergeCell ref="G79:L79"/>
    <mergeCell ref="B74:F74"/>
    <mergeCell ref="G74:L74"/>
    <mergeCell ref="B75:F75"/>
    <mergeCell ref="G75:L75"/>
    <mergeCell ref="B76:F76"/>
    <mergeCell ref="G76:L76"/>
    <mergeCell ref="B71:F71"/>
    <mergeCell ref="G71:L71"/>
    <mergeCell ref="B72:F72"/>
    <mergeCell ref="G72:L72"/>
    <mergeCell ref="B73:F73"/>
    <mergeCell ref="G73:L73"/>
    <mergeCell ref="B68:F68"/>
    <mergeCell ref="G68:L68"/>
    <mergeCell ref="B69:F69"/>
    <mergeCell ref="G69:L69"/>
    <mergeCell ref="B70:F70"/>
    <mergeCell ref="G70:L70"/>
    <mergeCell ref="B65:F65"/>
    <mergeCell ref="G65:L65"/>
    <mergeCell ref="B66:F66"/>
    <mergeCell ref="G66:L66"/>
    <mergeCell ref="B67:F67"/>
    <mergeCell ref="G67:L67"/>
    <mergeCell ref="B62:F62"/>
    <mergeCell ref="G62:L62"/>
    <mergeCell ref="B63:F63"/>
    <mergeCell ref="G63:L63"/>
    <mergeCell ref="B64:F64"/>
    <mergeCell ref="G64:L64"/>
    <mergeCell ref="B59:F59"/>
    <mergeCell ref="G59:L59"/>
    <mergeCell ref="B60:F60"/>
    <mergeCell ref="G60:L60"/>
    <mergeCell ref="B61:F61"/>
    <mergeCell ref="G61:L61"/>
    <mergeCell ref="B56:F56"/>
    <mergeCell ref="G56:L56"/>
    <mergeCell ref="B57:F57"/>
    <mergeCell ref="G57:L57"/>
    <mergeCell ref="B58:F58"/>
    <mergeCell ref="G58:L58"/>
    <mergeCell ref="B53:F53"/>
    <mergeCell ref="G53:L53"/>
    <mergeCell ref="B54:F54"/>
    <mergeCell ref="G54:L54"/>
    <mergeCell ref="B55:F55"/>
    <mergeCell ref="G55:L55"/>
    <mergeCell ref="A50:L50"/>
    <mergeCell ref="B51:F51"/>
    <mergeCell ref="G51:L51"/>
    <mergeCell ref="B52:F52"/>
    <mergeCell ref="G52:L52"/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4:L4"/>
    <mergeCell ref="A5:B5"/>
    <mergeCell ref="C5:D5"/>
    <mergeCell ref="E5:F5"/>
    <mergeCell ref="G5:H5"/>
    <mergeCell ref="J5:L5"/>
    <mergeCell ref="A3:B3"/>
    <mergeCell ref="C3:D3"/>
    <mergeCell ref="F3:H3"/>
    <mergeCell ref="A4:B4"/>
    <mergeCell ref="C4:D4"/>
    <mergeCell ref="F4:H4"/>
    <mergeCell ref="A1:B1"/>
    <mergeCell ref="C1:D1"/>
    <mergeCell ref="E1:E2"/>
    <mergeCell ref="F1:H2"/>
    <mergeCell ref="A2:B2"/>
    <mergeCell ref="C2:D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9525</xdr:colOff>
                    <xdr:row>0</xdr:row>
                    <xdr:rowOff>19050</xdr:rowOff>
                  </from>
                  <to>
                    <xdr:col>14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99995-B713-4962-ABB9-E3C6646B016C}">
  <sheetPr codeName="Sheet4"/>
  <dimension ref="A1:AD82"/>
  <sheetViews>
    <sheetView topLeftCell="L31" workbookViewId="0">
      <selection activeCell="R53" sqref="R53:W56"/>
    </sheetView>
  </sheetViews>
  <sheetFormatPr defaultRowHeight="16.5"/>
  <cols>
    <col min="2" max="2" width="27.25" customWidth="1"/>
    <col min="3" max="3" width="11.625" customWidth="1"/>
    <col min="5" max="5" width="10.75" customWidth="1"/>
    <col min="6" max="6" width="15" customWidth="1"/>
    <col min="8" max="8" width="14.75" customWidth="1"/>
    <col min="9" max="9" width="14.125" customWidth="1"/>
    <col min="12" max="12" width="41.375" customWidth="1"/>
    <col min="23" max="23" width="51.875" customWidth="1"/>
  </cols>
  <sheetData>
    <row r="1" spans="1:30" ht="17.45" customHeight="1">
      <c r="A1" s="124" t="s">
        <v>1</v>
      </c>
      <c r="B1" s="125"/>
      <c r="C1" s="122" t="s">
        <v>38</v>
      </c>
      <c r="D1" s="122"/>
      <c r="E1" s="122" t="s">
        <v>19</v>
      </c>
      <c r="F1" s="141" t="s">
        <v>2</v>
      </c>
      <c r="G1" s="141"/>
      <c r="H1" s="142"/>
      <c r="I1" s="16" t="s">
        <v>3</v>
      </c>
      <c r="J1" s="6" t="s">
        <v>39</v>
      </c>
      <c r="K1" s="11" t="s">
        <v>4</v>
      </c>
      <c r="L1" s="13">
        <v>43755</v>
      </c>
      <c r="M1" s="34"/>
      <c r="N1" s="18"/>
    </row>
    <row r="2" spans="1:30" ht="17.45" customHeight="1">
      <c r="A2" s="126" t="s">
        <v>5</v>
      </c>
      <c r="B2" s="127"/>
      <c r="C2" s="122"/>
      <c r="D2" s="122"/>
      <c r="E2" s="122"/>
      <c r="F2" s="143"/>
      <c r="G2" s="143"/>
      <c r="H2" s="144"/>
      <c r="I2" s="1" t="s">
        <v>6</v>
      </c>
      <c r="J2" s="6"/>
      <c r="K2" s="15" t="s">
        <v>7</v>
      </c>
      <c r="L2" s="13"/>
      <c r="M2" s="34"/>
      <c r="N2" s="18"/>
    </row>
    <row r="3" spans="1:30">
      <c r="A3" s="128" t="s">
        <v>0</v>
      </c>
      <c r="B3" s="129"/>
      <c r="C3" s="139"/>
      <c r="D3" s="140"/>
      <c r="E3" s="23" t="s">
        <v>8</v>
      </c>
      <c r="F3" s="145" t="s">
        <v>29</v>
      </c>
      <c r="G3" s="145"/>
      <c r="H3" s="145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TODO ;</v>
      </c>
    </row>
    <row r="4" spans="1:30" ht="16.899999999999999" customHeight="1">
      <c r="A4" s="122" t="s">
        <v>12</v>
      </c>
      <c r="B4" s="122"/>
      <c r="C4" s="122"/>
      <c r="D4" s="122"/>
      <c r="E4" s="6" t="s">
        <v>13</v>
      </c>
      <c r="F4" s="123" t="s">
        <v>97</v>
      </c>
      <c r="G4" s="123"/>
      <c r="H4" s="123"/>
      <c r="I4" s="58" t="s">
        <v>14</v>
      </c>
      <c r="J4" s="132" t="s">
        <v>111</v>
      </c>
      <c r="K4" s="133"/>
      <c r="L4" s="134"/>
      <c r="M4" s="36"/>
      <c r="N4" s="20"/>
      <c r="O4" s="17"/>
    </row>
    <row r="5" spans="1:30" ht="16.899999999999999" customHeight="1">
      <c r="A5" s="135" t="s">
        <v>31</v>
      </c>
      <c r="B5" s="136"/>
      <c r="C5" s="135"/>
      <c r="D5" s="136"/>
      <c r="E5" s="137" t="s">
        <v>33</v>
      </c>
      <c r="F5" s="138"/>
      <c r="G5" s="132" t="s">
        <v>34</v>
      </c>
      <c r="H5" s="134"/>
      <c r="I5" s="58" t="s">
        <v>32</v>
      </c>
      <c r="J5" s="132"/>
      <c r="K5" s="133"/>
      <c r="L5" s="134"/>
      <c r="M5" s="36"/>
      <c r="N5" s="20"/>
      <c r="O5" s="17"/>
    </row>
    <row r="6" spans="1:30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0" t="s">
        <v>37</v>
      </c>
      <c r="K6" s="131"/>
      <c r="L6" s="107" t="s">
        <v>26</v>
      </c>
      <c r="M6" s="37"/>
      <c r="N6" s="71" t="str">
        <f>CONCATENATE("CREATE TABLE ",$F$4," (")</f>
        <v>CREATE TABLE TODO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TODO IS '작업지시'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>
      <c r="A7" s="104">
        <v>1</v>
      </c>
      <c r="B7" s="59" t="s">
        <v>86</v>
      </c>
      <c r="C7" s="59" t="s">
        <v>65</v>
      </c>
      <c r="D7" s="67" t="s">
        <v>90</v>
      </c>
      <c r="E7" s="59" t="s">
        <v>62</v>
      </c>
      <c r="F7" s="59"/>
      <c r="G7" s="95" t="s">
        <v>72</v>
      </c>
      <c r="H7" s="95"/>
      <c r="I7" s="96"/>
      <c r="J7" s="121" t="s">
        <v>73</v>
      </c>
      <c r="K7" s="121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TodoCode                       INT  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TODO.TodoCode IS '작업지시코드  ( AUTO_INCREMENT )' ;</v>
      </c>
      <c r="V7" s="75"/>
      <c r="W7" s="75"/>
      <c r="X7" s="75"/>
      <c r="Y7" s="75"/>
      <c r="Z7" s="75"/>
      <c r="AA7" s="75"/>
      <c r="AB7" s="75"/>
      <c r="AC7" s="75"/>
      <c r="AD7" s="27"/>
    </row>
    <row r="8" spans="1:30">
      <c r="A8" s="104">
        <v>2</v>
      </c>
      <c r="B8" s="59" t="s">
        <v>75</v>
      </c>
      <c r="C8" s="59" t="s">
        <v>40</v>
      </c>
      <c r="D8" s="67" t="s">
        <v>43</v>
      </c>
      <c r="E8" s="59" t="s">
        <v>45</v>
      </c>
      <c r="F8" s="59">
        <v>5</v>
      </c>
      <c r="G8" s="95"/>
      <c r="H8" s="98" t="s">
        <v>91</v>
      </c>
      <c r="I8" s="59"/>
      <c r="J8" s="121"/>
      <c r="K8" s="121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MachineID                      CHAR (5)   NOT NULL  ,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TODO.MachineID IS '기계ID' ;</v>
      </c>
      <c r="V8" s="72"/>
      <c r="W8" s="72"/>
      <c r="X8" s="72"/>
      <c r="Y8" s="72"/>
      <c r="Z8" s="72"/>
      <c r="AA8" s="72"/>
      <c r="AB8" s="72"/>
      <c r="AC8" s="72"/>
      <c r="AD8" s="3"/>
    </row>
    <row r="9" spans="1:30">
      <c r="A9" s="104">
        <v>3</v>
      </c>
      <c r="B9" s="59" t="s">
        <v>85</v>
      </c>
      <c r="C9" s="59" t="s">
        <v>63</v>
      </c>
      <c r="D9" s="67" t="s">
        <v>43</v>
      </c>
      <c r="E9" s="59" t="s">
        <v>45</v>
      </c>
      <c r="F9" s="59">
        <v>5</v>
      </c>
      <c r="G9" s="95"/>
      <c r="H9" s="95" t="s">
        <v>92</v>
      </c>
      <c r="I9" s="96"/>
      <c r="J9" s="147"/>
      <c r="K9" s="147"/>
      <c r="L9" s="59" t="s">
        <v>64</v>
      </c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ProductionID                   CHAR (5)   NOT NULL  ,</v>
      </c>
      <c r="O9" s="74"/>
      <c r="P9" s="75"/>
      <c r="Q9" s="75"/>
      <c r="R9" s="75"/>
      <c r="S9" s="75"/>
      <c r="T9" s="75"/>
      <c r="U9" s="73" t="str">
        <f t="shared" si="0"/>
        <v>COMMENT ON COLUMN TODO.ProductionID IS '제품ID' ;</v>
      </c>
      <c r="V9" s="75"/>
      <c r="W9" s="75"/>
      <c r="X9" s="75"/>
      <c r="Y9" s="75"/>
      <c r="Z9" s="75"/>
      <c r="AA9" s="75"/>
      <c r="AB9" s="75"/>
      <c r="AC9" s="75"/>
      <c r="AD9" s="27"/>
    </row>
    <row r="10" spans="1:30">
      <c r="A10" s="104">
        <v>4</v>
      </c>
      <c r="B10" s="59" t="s">
        <v>94</v>
      </c>
      <c r="C10" s="59" t="s">
        <v>48</v>
      </c>
      <c r="D10" s="67" t="s">
        <v>43</v>
      </c>
      <c r="E10" s="59" t="s">
        <v>45</v>
      </c>
      <c r="F10" s="59">
        <v>5</v>
      </c>
      <c r="G10" s="95"/>
      <c r="H10" s="95" t="s">
        <v>123</v>
      </c>
      <c r="I10" s="96"/>
      <c r="J10" s="148"/>
      <c r="K10" s="148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EmployeeID                     CHAR (5)   NOT NULL  ,</v>
      </c>
      <c r="O10" s="74"/>
      <c r="P10" s="75"/>
      <c r="Q10" s="75"/>
      <c r="R10" s="75"/>
      <c r="S10" s="75"/>
      <c r="T10" s="75"/>
      <c r="U10" s="73" t="str">
        <f t="shared" si="0"/>
        <v>COMMENT ON COLUMN TODO.EmployeeID IS '직원ID' ;</v>
      </c>
      <c r="V10" s="75"/>
      <c r="W10" s="75"/>
      <c r="X10" s="75"/>
      <c r="Y10" s="75"/>
      <c r="Z10" s="75"/>
      <c r="AA10" s="75"/>
      <c r="AB10" s="75"/>
      <c r="AC10" s="75"/>
      <c r="AD10" s="27"/>
    </row>
    <row r="11" spans="1:30" ht="18.600000000000001" customHeight="1">
      <c r="A11" s="104">
        <v>5</v>
      </c>
      <c r="B11" s="61" t="s">
        <v>87</v>
      </c>
      <c r="C11" s="65" t="s">
        <v>68</v>
      </c>
      <c r="D11" s="67" t="s">
        <v>90</v>
      </c>
      <c r="E11" s="59" t="s">
        <v>62</v>
      </c>
      <c r="F11" s="66"/>
      <c r="G11" s="95"/>
      <c r="H11" s="95" t="s">
        <v>108</v>
      </c>
      <c r="I11" s="96"/>
      <c r="J11" s="147"/>
      <c r="K11" s="147"/>
      <c r="L11" s="97"/>
      <c r="M11" s="28"/>
      <c r="N11" s="71" t="str">
        <f t="shared" si="1"/>
        <v xml:space="preserve">Amount                         INT     NOT NULL  </v>
      </c>
      <c r="O11" s="74"/>
      <c r="P11" s="75"/>
      <c r="Q11" s="75"/>
      <c r="R11" s="75"/>
      <c r="S11" s="75"/>
      <c r="T11" s="75"/>
      <c r="U11" s="73" t="str">
        <f t="shared" si="0"/>
        <v>COMMENT ON COLUMN TODO.Amount IS '갯수' ;</v>
      </c>
      <c r="V11" s="75"/>
      <c r="W11" s="75"/>
      <c r="X11" s="75"/>
      <c r="Y11" s="75"/>
      <c r="Z11" s="75"/>
      <c r="AA11" s="75"/>
      <c r="AB11" s="75"/>
      <c r="AC11" s="75"/>
      <c r="AD11" s="27"/>
    </row>
    <row r="12" spans="1:30">
      <c r="A12" s="104">
        <v>6</v>
      </c>
      <c r="B12" s="61"/>
      <c r="C12" s="65"/>
      <c r="D12" s="59"/>
      <c r="E12" s="59"/>
      <c r="F12" s="61"/>
      <c r="G12" s="95"/>
      <c r="H12" s="95"/>
      <c r="I12" s="96"/>
      <c r="J12" s="121"/>
      <c r="K12" s="121"/>
      <c r="L12" s="97"/>
      <c r="M12" s="28"/>
      <c r="N12" s="71" t="str">
        <f t="shared" si="1"/>
        <v>) Tablespace TS_HEMR_DATA ;</v>
      </c>
      <c r="O12" s="74"/>
      <c r="P12" s="75"/>
      <c r="Q12" s="75"/>
      <c r="R12" s="75"/>
      <c r="S12" s="75"/>
      <c r="T12" s="75"/>
      <c r="U12" s="73" t="str">
        <f t="shared" si="0"/>
        <v>COMMENT ON COLUMN TODO. IS '' ;</v>
      </c>
      <c r="V12" s="75"/>
      <c r="W12" s="75"/>
      <c r="X12" s="75"/>
      <c r="Y12" s="75"/>
      <c r="Z12" s="75"/>
      <c r="AA12" s="75"/>
      <c r="AB12" s="75"/>
      <c r="AC12" s="75"/>
      <c r="AD12" s="27"/>
    </row>
    <row r="13" spans="1:30">
      <c r="A13" s="104">
        <v>7</v>
      </c>
      <c r="B13" s="59"/>
      <c r="C13" s="65"/>
      <c r="D13" s="67"/>
      <c r="E13" s="88"/>
      <c r="F13" s="94"/>
      <c r="G13" s="95"/>
      <c r="H13" s="95"/>
      <c r="I13" s="96"/>
      <c r="J13" s="121"/>
      <c r="K13" s="121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) Tablespace TS_HEMR_DATA ;</v>
      </c>
      <c r="O13" s="74"/>
      <c r="P13" s="75"/>
      <c r="Q13" s="75"/>
      <c r="R13" s="75"/>
      <c r="S13" s="75"/>
      <c r="T13" s="75"/>
      <c r="U13" s="73" t="str">
        <f t="shared" si="0"/>
        <v>COMMENT ON COLUMN TODO. IS '' ;</v>
      </c>
      <c r="V13" s="75"/>
      <c r="W13" s="75"/>
      <c r="X13" s="75"/>
      <c r="Y13" s="75"/>
      <c r="Z13" s="75"/>
      <c r="AA13" s="75"/>
      <c r="AB13" s="75"/>
      <c r="AC13" s="75"/>
      <c r="AD13" s="27"/>
    </row>
    <row r="14" spans="1:30">
      <c r="A14" s="104">
        <v>8</v>
      </c>
      <c r="B14" s="59"/>
      <c r="C14" s="59"/>
      <c r="D14" s="66"/>
      <c r="E14" s="88"/>
      <c r="F14" s="94"/>
      <c r="G14" s="95"/>
      <c r="H14" s="95"/>
      <c r="I14" s="96"/>
      <c r="J14" s="121"/>
      <c r="K14" s="121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74"/>
      <c r="P14" s="75"/>
      <c r="Q14" s="75"/>
      <c r="R14" s="75"/>
      <c r="S14" s="75"/>
      <c r="T14" s="75"/>
      <c r="U14" s="73" t="str">
        <f t="shared" si="0"/>
        <v>COMMENT ON COLUMN TODO. IS '' ;</v>
      </c>
      <c r="V14" s="75"/>
      <c r="W14" s="75"/>
      <c r="X14" s="75"/>
      <c r="Y14" s="75"/>
      <c r="Z14" s="75"/>
      <c r="AA14" s="75"/>
      <c r="AB14" s="75"/>
      <c r="AC14" s="75"/>
      <c r="AD14" s="27"/>
    </row>
    <row r="15" spans="1:30">
      <c r="A15" s="104">
        <v>9</v>
      </c>
      <c r="B15" s="66"/>
      <c r="C15" s="66"/>
      <c r="D15" s="66"/>
      <c r="E15" s="90"/>
      <c r="F15" s="93"/>
      <c r="G15" s="95"/>
      <c r="H15" s="95"/>
      <c r="I15" s="100"/>
      <c r="J15" s="121"/>
      <c r="K15" s="121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TODO. IS '' ;</v>
      </c>
      <c r="V15" s="75"/>
      <c r="W15" s="75"/>
      <c r="X15" s="75"/>
      <c r="Y15" s="75"/>
      <c r="Z15" s="75"/>
      <c r="AA15" s="75"/>
      <c r="AB15" s="75"/>
      <c r="AC15" s="75"/>
      <c r="AD15" s="27"/>
    </row>
    <row r="16" spans="1:30">
      <c r="A16" s="104">
        <v>10</v>
      </c>
      <c r="B16" s="101"/>
      <c r="C16" s="101"/>
      <c r="D16" s="66"/>
      <c r="E16" s="102"/>
      <c r="F16" s="103"/>
      <c r="G16" s="95"/>
      <c r="H16" s="95"/>
      <c r="I16" s="96"/>
      <c r="J16" s="121"/>
      <c r="K16" s="121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TODO. IS '' ;</v>
      </c>
      <c r="V16" s="75"/>
      <c r="W16" s="75"/>
      <c r="X16" s="75"/>
      <c r="Y16" s="75"/>
      <c r="Z16" s="75"/>
      <c r="AA16" s="75"/>
      <c r="AB16" s="75"/>
      <c r="AC16" s="75"/>
      <c r="AD16" s="27"/>
    </row>
    <row r="17" spans="1:30">
      <c r="A17" s="104">
        <v>11</v>
      </c>
      <c r="B17" s="101"/>
      <c r="C17" s="101"/>
      <c r="D17" s="66"/>
      <c r="E17" s="102"/>
      <c r="F17" s="103"/>
      <c r="G17" s="95"/>
      <c r="H17" s="95"/>
      <c r="I17" s="96"/>
      <c r="J17" s="121"/>
      <c r="K17" s="121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TODO. IS '' ;</v>
      </c>
      <c r="V17" s="72"/>
      <c r="W17" s="72"/>
      <c r="X17" s="72"/>
      <c r="Y17" s="72"/>
      <c r="Z17" s="72"/>
      <c r="AA17" s="72"/>
      <c r="AB17" s="72"/>
      <c r="AC17" s="72"/>
      <c r="AD17" s="3"/>
    </row>
    <row r="18" spans="1:30">
      <c r="A18" s="104">
        <v>12</v>
      </c>
      <c r="B18" s="101"/>
      <c r="C18" s="101"/>
      <c r="D18" s="66"/>
      <c r="E18" s="102"/>
      <c r="F18" s="103"/>
      <c r="G18" s="95"/>
      <c r="H18" s="95"/>
      <c r="I18" s="96"/>
      <c r="J18" s="121"/>
      <c r="K18" s="121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TODO. IS '' ;</v>
      </c>
      <c r="V18" s="72"/>
      <c r="W18" s="72"/>
      <c r="X18" s="72"/>
      <c r="Y18" s="72"/>
      <c r="Z18" s="72"/>
      <c r="AA18" s="72"/>
      <c r="AB18" s="72"/>
      <c r="AC18" s="72"/>
      <c r="AD18" s="3"/>
    </row>
    <row r="19" spans="1:30">
      <c r="A19" s="104">
        <v>13</v>
      </c>
      <c r="B19" s="101"/>
      <c r="C19" s="101"/>
      <c r="D19" s="66"/>
      <c r="E19" s="102"/>
      <c r="F19" s="103"/>
      <c r="G19" s="95"/>
      <c r="H19" s="95"/>
      <c r="I19" s="96"/>
      <c r="J19" s="121"/>
      <c r="K19" s="121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TODO. IS '' ;</v>
      </c>
      <c r="V19" s="72"/>
      <c r="W19" s="72"/>
      <c r="X19" s="72"/>
      <c r="Y19" s="72"/>
      <c r="Z19" s="72"/>
      <c r="AA19" s="72"/>
      <c r="AB19" s="72"/>
      <c r="AC19" s="72"/>
      <c r="AD19" s="3"/>
    </row>
    <row r="20" spans="1:30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21"/>
      <c r="K20" s="121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TODO. IS '' ;</v>
      </c>
      <c r="V20" s="72"/>
      <c r="W20" s="72"/>
      <c r="X20" s="72"/>
      <c r="Y20" s="72"/>
      <c r="Z20" s="72"/>
      <c r="AA20" s="72"/>
      <c r="AB20" s="72"/>
      <c r="AC20" s="72"/>
      <c r="AD20" s="3"/>
    </row>
    <row r="21" spans="1:30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21"/>
      <c r="K21" s="121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TODO. IS '' ;</v>
      </c>
      <c r="V21" s="72"/>
      <c r="W21" s="72"/>
      <c r="X21" s="72"/>
      <c r="Y21" s="72"/>
      <c r="Z21" s="72"/>
      <c r="AA21" s="72"/>
      <c r="AB21" s="72"/>
      <c r="AC21" s="72"/>
      <c r="AD21" s="3"/>
    </row>
    <row r="22" spans="1:30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21"/>
      <c r="K22" s="121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TODO. IS '' ;</v>
      </c>
      <c r="V22" s="72"/>
      <c r="W22" s="72"/>
      <c r="X22" s="72"/>
      <c r="Y22" s="72"/>
      <c r="Z22" s="72"/>
      <c r="AA22" s="72"/>
      <c r="AB22" s="72"/>
      <c r="AC22" s="72"/>
      <c r="AD22" s="3"/>
    </row>
    <row r="23" spans="1:30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21"/>
      <c r="K23" s="121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TODO. IS '' ;</v>
      </c>
      <c r="V23" s="72"/>
      <c r="W23" s="72"/>
      <c r="X23" s="72"/>
      <c r="Y23" s="72"/>
      <c r="Z23" s="72"/>
      <c r="AA23" s="72"/>
      <c r="AB23" s="72"/>
      <c r="AC23" s="72"/>
      <c r="AD23" s="3"/>
    </row>
    <row r="24" spans="1:30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21"/>
      <c r="K24" s="121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TODO. IS '' ;</v>
      </c>
      <c r="V24" s="72"/>
      <c r="W24" s="72"/>
      <c r="X24" s="72"/>
      <c r="Y24" s="72"/>
      <c r="Z24" s="72"/>
      <c r="AA24" s="72"/>
      <c r="AB24" s="72"/>
      <c r="AC24" s="72"/>
      <c r="AD24" s="3"/>
    </row>
    <row r="25" spans="1:30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21"/>
      <c r="K25" s="121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TODO. IS '' ;</v>
      </c>
      <c r="V25" s="72"/>
      <c r="W25" s="72"/>
      <c r="X25" s="72"/>
      <c r="Y25" s="72"/>
      <c r="Z25" s="72"/>
      <c r="AA25" s="72"/>
      <c r="AB25" s="72"/>
      <c r="AC25" s="72"/>
      <c r="AD25" s="3"/>
    </row>
    <row r="26" spans="1:30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21"/>
      <c r="K26" s="121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TODO. IS '' ;</v>
      </c>
      <c r="V26" s="72"/>
      <c r="W26" s="72"/>
      <c r="X26" s="72"/>
      <c r="Y26" s="72"/>
      <c r="Z26" s="72"/>
      <c r="AA26" s="72"/>
      <c r="AB26" s="72"/>
      <c r="AC26" s="72"/>
      <c r="AD26" s="3"/>
    </row>
    <row r="27" spans="1:30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21"/>
      <c r="K27" s="121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TODO. IS '' ;</v>
      </c>
      <c r="V27" s="72"/>
      <c r="W27" s="72"/>
      <c r="X27" s="72"/>
      <c r="Y27" s="72"/>
      <c r="Z27" s="72"/>
      <c r="AA27" s="72"/>
      <c r="AB27" s="72"/>
      <c r="AC27" s="72"/>
      <c r="AD27" s="3"/>
    </row>
    <row r="28" spans="1:30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21"/>
      <c r="K28" s="121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TODO. IS '' ;</v>
      </c>
      <c r="V28" s="72"/>
      <c r="W28" s="72"/>
      <c r="X28" s="72"/>
      <c r="Y28" s="72"/>
      <c r="Z28" s="72"/>
      <c r="AA28" s="72"/>
      <c r="AB28" s="72"/>
      <c r="AC28" s="72"/>
      <c r="AD28" s="3"/>
    </row>
    <row r="29" spans="1:30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21"/>
      <c r="K29" s="121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TODO. IS '' ;</v>
      </c>
      <c r="V29" s="72"/>
      <c r="W29" s="72"/>
      <c r="X29" s="72"/>
      <c r="Y29" s="72"/>
      <c r="Z29" s="72"/>
      <c r="AA29" s="72"/>
      <c r="AB29" s="72"/>
      <c r="AC29" s="72"/>
      <c r="AD29" s="3"/>
    </row>
    <row r="30" spans="1:30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21"/>
      <c r="K30" s="121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TODO. IS '' ;</v>
      </c>
      <c r="V30" s="72"/>
      <c r="W30" s="72"/>
      <c r="X30" s="72"/>
      <c r="Y30" s="72"/>
      <c r="Z30" s="72"/>
      <c r="AA30" s="72"/>
      <c r="AB30" s="72"/>
      <c r="AC30" s="72"/>
      <c r="AD30" s="3"/>
    </row>
    <row r="31" spans="1:30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21"/>
      <c r="K31" s="121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TODO. IS '' ;</v>
      </c>
      <c r="V31" s="72"/>
      <c r="W31" s="72"/>
      <c r="X31" s="72"/>
      <c r="Y31" s="72"/>
      <c r="Z31" s="72"/>
      <c r="AA31" s="72"/>
      <c r="AB31" s="72"/>
      <c r="AC31" s="72"/>
      <c r="AD31" s="3"/>
    </row>
    <row r="32" spans="1:30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21"/>
      <c r="K32" s="121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TODO. IS '' ;</v>
      </c>
      <c r="V32" s="72"/>
      <c r="W32" s="72"/>
      <c r="X32" s="72"/>
      <c r="Y32" s="72"/>
      <c r="Z32" s="72"/>
      <c r="AA32" s="72"/>
      <c r="AB32" s="72"/>
      <c r="AC32" s="72"/>
      <c r="AD32" s="3"/>
    </row>
    <row r="33" spans="1:30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21"/>
      <c r="K33" s="121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TODO. IS '' ;</v>
      </c>
      <c r="V33" s="72"/>
      <c r="W33" s="72"/>
      <c r="X33" s="72"/>
      <c r="Y33" s="72"/>
      <c r="Z33" s="72"/>
      <c r="AA33" s="72"/>
      <c r="AB33" s="72"/>
      <c r="AC33" s="72"/>
      <c r="AD33" s="3"/>
    </row>
    <row r="34" spans="1:30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21"/>
      <c r="K34" s="121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TODO. IS '' ;</v>
      </c>
      <c r="V34" s="72"/>
      <c r="W34" s="72"/>
      <c r="X34" s="72"/>
      <c r="Y34" s="72"/>
      <c r="Z34" s="72"/>
      <c r="AA34" s="72"/>
      <c r="AB34" s="72"/>
      <c r="AC34" s="72"/>
      <c r="AD34" s="3"/>
    </row>
    <row r="35" spans="1:30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21"/>
      <c r="K35" s="121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TODO. IS '' ;</v>
      </c>
      <c r="V35" s="72"/>
      <c r="W35" s="72"/>
      <c r="X35" s="72"/>
      <c r="Y35" s="72"/>
      <c r="Z35" s="72"/>
      <c r="AA35" s="72"/>
      <c r="AB35" s="72"/>
      <c r="AC35" s="72"/>
      <c r="AD35" s="3"/>
    </row>
    <row r="36" spans="1:30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21"/>
      <c r="K36" s="121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  <c r="AD36" s="3"/>
    </row>
    <row r="37" spans="1:30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21"/>
      <c r="K37" s="121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  <c r="AD37" s="3"/>
    </row>
    <row r="38" spans="1:30">
      <c r="A38" s="40"/>
      <c r="B38" s="41"/>
      <c r="C38" s="41"/>
      <c r="D38" s="43"/>
      <c r="E38" s="43"/>
      <c r="F38" s="43"/>
      <c r="G38" s="50"/>
      <c r="H38" s="43"/>
      <c r="I38" s="44"/>
      <c r="J38" s="146"/>
      <c r="K38" s="146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  <c r="AD38" s="3"/>
    </row>
    <row r="39" spans="1:30">
      <c r="A39" s="42"/>
      <c r="B39" s="41"/>
      <c r="C39" s="41"/>
      <c r="D39" s="43"/>
      <c r="E39" s="43"/>
      <c r="F39" s="43"/>
      <c r="G39" s="43"/>
      <c r="H39" s="43"/>
      <c r="I39" s="44"/>
      <c r="J39" s="57"/>
      <c r="K39" s="57"/>
      <c r="L39" s="28"/>
      <c r="M39" s="8"/>
      <c r="N39" s="71" t="s">
        <v>36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  <c r="AD39" s="3"/>
    </row>
    <row r="40" spans="1:30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1" spans="1:30">
      <c r="A41" s="40"/>
      <c r="B41" s="26"/>
      <c r="C41" s="26"/>
      <c r="D41" s="25"/>
      <c r="E41" s="25"/>
      <c r="F41" s="25"/>
      <c r="G41" s="25"/>
      <c r="H41" s="25"/>
      <c r="I41" s="26"/>
      <c r="J41" s="57"/>
      <c r="K41" s="57"/>
      <c r="L41" s="8"/>
      <c r="M41" s="8"/>
      <c r="N41" s="22"/>
      <c r="O41" s="8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</row>
    <row r="42" spans="1:30">
      <c r="A42" s="77" t="s">
        <v>11</v>
      </c>
      <c r="B42" s="77" t="s">
        <v>30</v>
      </c>
      <c r="C42" s="153" t="s">
        <v>15</v>
      </c>
      <c r="D42" s="153"/>
      <c r="E42" s="153"/>
      <c r="F42" s="153"/>
      <c r="G42" s="153"/>
      <c r="H42" s="77" t="s">
        <v>27</v>
      </c>
      <c r="I42" s="77" t="s">
        <v>17</v>
      </c>
      <c r="J42" s="154" t="s">
        <v>28</v>
      </c>
      <c r="K42" s="155"/>
      <c r="L42" s="156"/>
      <c r="M42" s="78"/>
      <c r="N42" s="79"/>
      <c r="O42" s="79"/>
      <c r="P42" s="80"/>
      <c r="Q42" s="80"/>
      <c r="R42" s="80"/>
      <c r="S42" s="80"/>
      <c r="T42" s="80"/>
      <c r="U42" s="80"/>
      <c r="V42" s="2"/>
      <c r="W42" s="2"/>
      <c r="X42" s="2"/>
      <c r="Y42" s="2"/>
      <c r="Z42" s="2"/>
      <c r="AA42" s="2"/>
      <c r="AB42" s="2"/>
      <c r="AC42" s="2"/>
      <c r="AD42" s="2"/>
    </row>
    <row r="43" spans="1:30">
      <c r="A43" s="81">
        <v>1</v>
      </c>
      <c r="B43" s="64"/>
      <c r="C43" s="149"/>
      <c r="D43" s="149"/>
      <c r="E43" s="149"/>
      <c r="F43" s="149"/>
      <c r="G43" s="149"/>
      <c r="H43" s="81"/>
      <c r="I43" s="82"/>
      <c r="J43" s="150"/>
      <c r="K43" s="151"/>
      <c r="L43" s="152"/>
      <c r="M43" s="83"/>
      <c r="N43" s="79" t="str">
        <f>CONCATENATE("CREATE ", IF(H43&lt;&gt;"", "UNIQUE ", ""),"INDEX ", B43, " ON ", $F$4, "( ",C43, " ) " )</f>
        <v xml:space="preserve">CREATE INDEX  ON TODO(  ) </v>
      </c>
      <c r="O43" s="79"/>
      <c r="P43" s="80"/>
      <c r="Q43" s="80"/>
      <c r="R43" s="80"/>
      <c r="S43" s="80"/>
      <c r="T43" s="80"/>
      <c r="U43" s="80"/>
      <c r="V43" s="2"/>
      <c r="W43" s="2"/>
      <c r="X43" s="2"/>
      <c r="Y43" s="2"/>
      <c r="Z43" s="2"/>
      <c r="AA43" s="2"/>
      <c r="AB43" s="2"/>
      <c r="AC43" s="2"/>
      <c r="AD43" s="2"/>
    </row>
    <row r="44" spans="1:30">
      <c r="A44" s="81">
        <v>2</v>
      </c>
      <c r="B44" s="64"/>
      <c r="C44" s="149"/>
      <c r="D44" s="149"/>
      <c r="E44" s="149"/>
      <c r="F44" s="149"/>
      <c r="G44" s="149"/>
      <c r="H44" s="81"/>
      <c r="I44" s="82"/>
      <c r="J44" s="150"/>
      <c r="K44" s="151"/>
      <c r="L44" s="152"/>
      <c r="M44" s="83"/>
      <c r="N44" s="79" t="str">
        <f t="shared" ref="N44:N46" si="2">CONCATENATE("CREATE ", IF(H44&lt;&gt;"", "UNIQUE ", ""),"INDEX ", B44, " ON ", $F$4, "( ",C44, " ) " )</f>
        <v xml:space="preserve">CREATE INDEX  ON TODO(  ) </v>
      </c>
      <c r="O44" s="79"/>
      <c r="P44" s="80"/>
      <c r="Q44" s="80"/>
      <c r="R44" s="80"/>
      <c r="S44" s="80"/>
      <c r="T44" s="80"/>
      <c r="U44" s="80"/>
      <c r="V44" s="2"/>
      <c r="W44" s="2"/>
      <c r="X44" s="2"/>
      <c r="Y44" s="2"/>
      <c r="Z44" s="2"/>
      <c r="AA44" s="2"/>
      <c r="AB44" s="2"/>
      <c r="AC44" s="2"/>
      <c r="AD44" s="2"/>
    </row>
    <row r="45" spans="1:30">
      <c r="A45" s="81">
        <v>3</v>
      </c>
      <c r="B45" s="64"/>
      <c r="C45" s="149"/>
      <c r="D45" s="149"/>
      <c r="E45" s="149"/>
      <c r="F45" s="149"/>
      <c r="G45" s="149"/>
      <c r="H45" s="81"/>
      <c r="I45" s="82"/>
      <c r="J45" s="84"/>
      <c r="K45" s="85"/>
      <c r="L45" s="86"/>
      <c r="M45" s="83"/>
      <c r="N45" s="79" t="str">
        <f t="shared" si="2"/>
        <v xml:space="preserve">CREATE INDEX  ON TODO(  ) </v>
      </c>
      <c r="O45" s="79"/>
      <c r="P45" s="80"/>
      <c r="Q45" s="80"/>
      <c r="R45" s="80"/>
      <c r="S45" s="80"/>
      <c r="T45" s="80"/>
      <c r="U45" s="80"/>
      <c r="V45" s="2"/>
      <c r="W45" s="2"/>
      <c r="X45" s="2"/>
      <c r="Y45" s="2"/>
      <c r="Z45" s="2"/>
      <c r="AA45" s="2"/>
      <c r="AB45" s="2"/>
      <c r="AC45" s="2"/>
      <c r="AD45" s="2"/>
    </row>
    <row r="46" spans="1:30">
      <c r="A46" s="81">
        <v>4</v>
      </c>
      <c r="B46" s="64"/>
      <c r="C46" s="149"/>
      <c r="D46" s="149"/>
      <c r="E46" s="149"/>
      <c r="F46" s="149"/>
      <c r="G46" s="149"/>
      <c r="H46" s="81"/>
      <c r="I46" s="82"/>
      <c r="J46" s="150"/>
      <c r="K46" s="151"/>
      <c r="L46" s="152"/>
      <c r="M46" s="83"/>
      <c r="N46" s="79" t="str">
        <f t="shared" si="2"/>
        <v xml:space="preserve">CREATE INDEX  ON TODO(  ) </v>
      </c>
      <c r="O46" s="79"/>
      <c r="P46" s="80"/>
      <c r="Q46" s="80"/>
      <c r="R46" s="80"/>
      <c r="S46" s="80"/>
      <c r="T46" s="80"/>
      <c r="U46" s="80"/>
      <c r="V46" s="2"/>
      <c r="W46" s="2"/>
      <c r="X46" s="2"/>
      <c r="Y46" s="2"/>
      <c r="Z46" s="2"/>
      <c r="AA46" s="2"/>
      <c r="AB46" s="2"/>
      <c r="AC46" s="2"/>
      <c r="AD46" s="2"/>
    </row>
    <row r="47" spans="1:30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2"/>
      <c r="W47" s="2"/>
      <c r="X47" s="2"/>
      <c r="Y47" s="2"/>
      <c r="Z47" s="2"/>
      <c r="AA47" s="2"/>
      <c r="AB47" s="2"/>
      <c r="AC47" s="2"/>
      <c r="AD47" s="2"/>
    </row>
    <row r="48" spans="1:30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2"/>
      <c r="W48" s="2"/>
      <c r="X48" s="2"/>
      <c r="Y48" s="2"/>
      <c r="Z48" s="2"/>
      <c r="AA48" s="2"/>
      <c r="AB48" s="2"/>
      <c r="AC48" s="2"/>
      <c r="AD48" s="2"/>
    </row>
    <row r="49" spans="1:30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2"/>
      <c r="W49" s="2"/>
      <c r="X49" s="2"/>
      <c r="Y49" s="2"/>
      <c r="Z49" s="2"/>
      <c r="AA49" s="2"/>
      <c r="AB49" s="2"/>
      <c r="AC49" s="2"/>
      <c r="AD49" s="2"/>
    </row>
    <row r="50" spans="1:30">
      <c r="A50" s="157" t="s">
        <v>116</v>
      </c>
      <c r="B50" s="157"/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7" t="s">
        <v>119</v>
      </c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2"/>
      <c r="Y50" s="2"/>
      <c r="Z50" s="2"/>
      <c r="AA50" s="2"/>
      <c r="AB50" s="2"/>
      <c r="AC50" s="2"/>
      <c r="AD50" s="2"/>
    </row>
    <row r="51" spans="1:30">
      <c r="A51" s="158"/>
      <c r="B51" s="162" t="s">
        <v>118</v>
      </c>
      <c r="C51" s="163"/>
      <c r="D51" s="163"/>
      <c r="E51" s="163"/>
      <c r="F51" s="164"/>
      <c r="G51" s="162" t="s">
        <v>120</v>
      </c>
      <c r="H51" s="163"/>
      <c r="I51" s="163"/>
      <c r="J51" s="163"/>
      <c r="K51" s="163"/>
      <c r="L51" s="164"/>
      <c r="M51" s="162" t="s">
        <v>118</v>
      </c>
      <c r="N51" s="163"/>
      <c r="O51" s="163"/>
      <c r="P51" s="163"/>
      <c r="Q51" s="164"/>
      <c r="R51" s="162" t="s">
        <v>117</v>
      </c>
      <c r="S51" s="163"/>
      <c r="T51" s="163"/>
      <c r="U51" s="163"/>
      <c r="V51" s="163"/>
      <c r="W51" s="164"/>
      <c r="X51" s="2"/>
      <c r="Y51" s="2"/>
      <c r="Z51" s="2"/>
      <c r="AA51" s="2"/>
      <c r="AB51" s="2"/>
      <c r="AC51" s="2"/>
      <c r="AD51" s="2"/>
    </row>
    <row r="52" spans="1:30">
      <c r="A52" s="29">
        <v>1</v>
      </c>
      <c r="B52" s="159" t="str">
        <f>IF(AND(COUNTA($G$7:$G$37) = 1, LOWER($G7)="y"),"ALTER TABLE " &amp; $F$4 &amp; " ADD CONSTRAINT " &amp; LOWER("pk_" &amp; $F$4 &amp;"_" &amp; $B7)&amp; " PRIMARY KEY( " &amp; $B7 &amp; ");","")</f>
        <v>ALTER TABLE TODO ADD CONSTRAINT pk_todo_todocode PRIMARY KEY( TodoCode);</v>
      </c>
      <c r="C52" s="160"/>
      <c r="D52" s="160"/>
      <c r="E52" s="160"/>
      <c r="F52" s="161"/>
      <c r="G52" s="159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60"/>
      <c r="I52" s="160"/>
      <c r="J52" s="160"/>
      <c r="K52" s="160"/>
      <c r="L52" s="161"/>
      <c r="M52" s="159" t="str">
        <f>IF(B52 &lt;&gt; "", IF(AND(COUNTA($G$7:$G$37) = 1, LOWER($G7)="y"),"ALTER TABLE " &amp; $F$4 &amp; " DROP PRIMARY KEY;",""), "")</f>
        <v>ALTER TABLE TODO DROP PRIMARY KEY;</v>
      </c>
      <c r="N52" s="160"/>
      <c r="O52" s="160"/>
      <c r="P52" s="160"/>
      <c r="Q52" s="161"/>
      <c r="R52" s="159" t="str">
        <f>IF($H7&lt;&gt;"","ALTER TABLE " &amp; $F$4 &amp; " DROP FOREIGN KEY  `fk_" &amp; LOWER($H7 &amp; "_" &amp; $F$4 &amp; "_" &amp; $B7) &amp; "`;","")</f>
        <v/>
      </c>
      <c r="S52" s="160"/>
      <c r="T52" s="160"/>
      <c r="U52" s="160"/>
      <c r="V52" s="160"/>
      <c r="W52" s="161"/>
      <c r="X52" s="2"/>
      <c r="Y52" s="2"/>
      <c r="Z52" s="2"/>
      <c r="AA52" s="2"/>
      <c r="AB52" s="2"/>
      <c r="AC52" s="2"/>
      <c r="AD52" s="2"/>
    </row>
    <row r="53" spans="1:30">
      <c r="A53" s="29">
        <v>2</v>
      </c>
      <c r="B53" s="159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60"/>
      <c r="D53" s="160"/>
      <c r="E53" s="160"/>
      <c r="F53" s="161"/>
      <c r="G53" s="159" t="str">
        <f>IF($H8&lt;&gt;"","ALTER TABLE " &amp; $F$4 &amp; " ADD CONSTRAINT fk_" &amp; LOWER($H8 &amp; "_" &amp; $F$4 &amp; "_" &amp; $B8) &amp; "  FOREIGN KEY(" &amp; $B8 &amp; " ) REFERENCES " &amp; $H8&amp; "(" &amp; $B8 &amp; ");","")</f>
        <v>ALTER TABLE TODO ADD CONSTRAINT fk_machine_todo_machineid  FOREIGN KEY(MachineID ) REFERENCES machine(MachineID);</v>
      </c>
      <c r="H53" s="160"/>
      <c r="I53" s="160"/>
      <c r="J53" s="160"/>
      <c r="K53" s="160"/>
      <c r="L53" s="161"/>
      <c r="M53" s="159" t="str">
        <f t="shared" ref="M53:M82" si="4">IF(B53 &lt;&gt; "", IF(AND(COUNTA($G$7:$G$37) = 1, LOWER($G8)="y"),"ALTER TABLE " &amp; $F$4 &amp; " DROP PRIMARY KEY;",""), "")</f>
        <v/>
      </c>
      <c r="N53" s="160"/>
      <c r="O53" s="160"/>
      <c r="P53" s="160"/>
      <c r="Q53" s="161"/>
      <c r="R53" s="159" t="str">
        <f>IF($H8&lt;&gt;"","ALTER TABLE " &amp; $F$4 &amp; " DROP FOREIGN KEY  `fk_" &amp; LOWER($H8 &amp; "_" &amp; $F$4 &amp; "_" &amp; $B8) &amp; "`;","")</f>
        <v>ALTER TABLE TODO DROP FOREIGN KEY  `fk_machine_todo_machineid`;</v>
      </c>
      <c r="S53" s="160"/>
      <c r="T53" s="160"/>
      <c r="U53" s="160"/>
      <c r="V53" s="160"/>
      <c r="W53" s="161"/>
    </row>
    <row r="54" spans="1:30">
      <c r="A54" s="29">
        <v>3</v>
      </c>
      <c r="B54" s="159" t="str">
        <f t="shared" si="3"/>
        <v/>
      </c>
      <c r="C54" s="160"/>
      <c r="D54" s="160"/>
      <c r="E54" s="160"/>
      <c r="F54" s="161"/>
      <c r="G54" s="159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>ALTER TABLE TODO ADD CONSTRAINT fk_production_todo_productionid  FOREIGN KEY(ProductionID ) REFERENCES production(ProductionID);</v>
      </c>
      <c r="H54" s="160"/>
      <c r="I54" s="160"/>
      <c r="J54" s="160"/>
      <c r="K54" s="160"/>
      <c r="L54" s="161"/>
      <c r="M54" s="159" t="str">
        <f t="shared" si="4"/>
        <v/>
      </c>
      <c r="N54" s="160"/>
      <c r="O54" s="160"/>
      <c r="P54" s="160"/>
      <c r="Q54" s="161"/>
      <c r="R54" s="159" t="str">
        <f t="shared" ref="R54:R82" si="6">IF($H9&lt;&gt;"","ALTER TABLE " &amp; $F$4 &amp; " DROP FOREIGN KEY  `fk_" &amp; LOWER($H9 &amp; "_" &amp; $F$4 &amp; "_" &amp; $B9) &amp; "`;","")</f>
        <v>ALTER TABLE TODO DROP FOREIGN KEY  `fk_production_todo_productionid`;</v>
      </c>
      <c r="S54" s="160"/>
      <c r="T54" s="160"/>
      <c r="U54" s="160"/>
      <c r="V54" s="160"/>
      <c r="W54" s="161"/>
    </row>
    <row r="55" spans="1:30">
      <c r="A55" s="29">
        <v>4</v>
      </c>
      <c r="B55" s="159" t="str">
        <f t="shared" si="3"/>
        <v/>
      </c>
      <c r="C55" s="160"/>
      <c r="D55" s="160"/>
      <c r="E55" s="160"/>
      <c r="F55" s="161"/>
      <c r="G55" s="159" t="str">
        <f t="shared" si="5"/>
        <v>ALTER TABLE TODO ADD CONSTRAINT fk_employees_todo_employeeid  FOREIGN KEY(EmployeeID ) REFERENCES employees(EmployeeID);</v>
      </c>
      <c r="H55" s="160"/>
      <c r="I55" s="160"/>
      <c r="J55" s="160"/>
      <c r="K55" s="160"/>
      <c r="L55" s="161"/>
      <c r="M55" s="159" t="str">
        <f t="shared" si="4"/>
        <v/>
      </c>
      <c r="N55" s="160"/>
      <c r="O55" s="160"/>
      <c r="P55" s="160"/>
      <c r="Q55" s="161"/>
      <c r="R55" s="159" t="str">
        <f t="shared" si="6"/>
        <v>ALTER TABLE TODO DROP FOREIGN KEY  `fk_employees_todo_employeeid`;</v>
      </c>
      <c r="S55" s="160"/>
      <c r="T55" s="160"/>
      <c r="U55" s="160"/>
      <c r="V55" s="160"/>
      <c r="W55" s="161"/>
    </row>
    <row r="56" spans="1:30">
      <c r="A56" s="29">
        <v>5</v>
      </c>
      <c r="B56" s="159" t="str">
        <f t="shared" si="3"/>
        <v/>
      </c>
      <c r="C56" s="160"/>
      <c r="D56" s="160"/>
      <c r="E56" s="160"/>
      <c r="F56" s="161"/>
      <c r="G56" s="159" t="str">
        <f t="shared" si="5"/>
        <v>ALTER TABLE TODO ADD CONSTRAINT fk_productionplan_todo_amount  FOREIGN KEY(Amount ) REFERENCES ProductionPlan(Amount);</v>
      </c>
      <c r="H56" s="160"/>
      <c r="I56" s="160"/>
      <c r="J56" s="160"/>
      <c r="K56" s="160"/>
      <c r="L56" s="161"/>
      <c r="M56" s="159" t="str">
        <f t="shared" si="4"/>
        <v/>
      </c>
      <c r="N56" s="160"/>
      <c r="O56" s="160"/>
      <c r="P56" s="160"/>
      <c r="Q56" s="161"/>
      <c r="R56" s="159" t="str">
        <f t="shared" si="6"/>
        <v>ALTER TABLE TODO DROP FOREIGN KEY  `fk_productionplan_todo_amount`;</v>
      </c>
      <c r="S56" s="160"/>
      <c r="T56" s="160"/>
      <c r="U56" s="160"/>
      <c r="V56" s="160"/>
      <c r="W56" s="161"/>
    </row>
    <row r="57" spans="1:30">
      <c r="A57" s="29">
        <v>6</v>
      </c>
      <c r="B57" s="159" t="str">
        <f t="shared" si="3"/>
        <v/>
      </c>
      <c r="C57" s="160"/>
      <c r="D57" s="160"/>
      <c r="E57" s="160"/>
      <c r="F57" s="161"/>
      <c r="G57" s="159" t="str">
        <f t="shared" si="5"/>
        <v/>
      </c>
      <c r="H57" s="160"/>
      <c r="I57" s="160"/>
      <c r="J57" s="160"/>
      <c r="K57" s="160"/>
      <c r="L57" s="161"/>
      <c r="M57" s="159" t="str">
        <f t="shared" si="4"/>
        <v/>
      </c>
      <c r="N57" s="160"/>
      <c r="O57" s="160"/>
      <c r="P57" s="160"/>
      <c r="Q57" s="161"/>
      <c r="R57" s="159" t="str">
        <f t="shared" si="6"/>
        <v/>
      </c>
      <c r="S57" s="160"/>
      <c r="T57" s="160"/>
      <c r="U57" s="160"/>
      <c r="V57" s="160"/>
      <c r="W57" s="161"/>
    </row>
    <row r="58" spans="1:30">
      <c r="A58" s="29">
        <v>7</v>
      </c>
      <c r="B58" s="159" t="str">
        <f t="shared" si="3"/>
        <v/>
      </c>
      <c r="C58" s="160"/>
      <c r="D58" s="160"/>
      <c r="E58" s="160"/>
      <c r="F58" s="161"/>
      <c r="G58" s="159" t="str">
        <f t="shared" si="5"/>
        <v/>
      </c>
      <c r="H58" s="160"/>
      <c r="I58" s="160"/>
      <c r="J58" s="160"/>
      <c r="K58" s="160"/>
      <c r="L58" s="161"/>
      <c r="M58" s="159" t="str">
        <f t="shared" si="4"/>
        <v/>
      </c>
      <c r="N58" s="160"/>
      <c r="O58" s="160"/>
      <c r="P58" s="160"/>
      <c r="Q58" s="161"/>
      <c r="R58" s="159" t="str">
        <f t="shared" si="6"/>
        <v/>
      </c>
      <c r="S58" s="160"/>
      <c r="T58" s="160"/>
      <c r="U58" s="160"/>
      <c r="V58" s="160"/>
      <c r="W58" s="161"/>
    </row>
    <row r="59" spans="1:30">
      <c r="A59" s="29">
        <v>8</v>
      </c>
      <c r="B59" s="159" t="str">
        <f t="shared" si="3"/>
        <v/>
      </c>
      <c r="C59" s="160"/>
      <c r="D59" s="160"/>
      <c r="E59" s="160"/>
      <c r="F59" s="161"/>
      <c r="G59" s="159" t="str">
        <f t="shared" si="5"/>
        <v/>
      </c>
      <c r="H59" s="160"/>
      <c r="I59" s="160"/>
      <c r="J59" s="160"/>
      <c r="K59" s="160"/>
      <c r="L59" s="161"/>
      <c r="M59" s="159" t="str">
        <f t="shared" si="4"/>
        <v/>
      </c>
      <c r="N59" s="160"/>
      <c r="O59" s="160"/>
      <c r="P59" s="160"/>
      <c r="Q59" s="161"/>
      <c r="R59" s="159" t="str">
        <f t="shared" si="6"/>
        <v/>
      </c>
      <c r="S59" s="160"/>
      <c r="T59" s="160"/>
      <c r="U59" s="160"/>
      <c r="V59" s="160"/>
      <c r="W59" s="161"/>
    </row>
    <row r="60" spans="1:30">
      <c r="A60" s="29">
        <v>9</v>
      </c>
      <c r="B60" s="159" t="str">
        <f t="shared" si="3"/>
        <v/>
      </c>
      <c r="C60" s="160"/>
      <c r="D60" s="160"/>
      <c r="E60" s="160"/>
      <c r="F60" s="161"/>
      <c r="G60" s="159" t="str">
        <f t="shared" si="5"/>
        <v/>
      </c>
      <c r="H60" s="160"/>
      <c r="I60" s="160"/>
      <c r="J60" s="160"/>
      <c r="K60" s="160"/>
      <c r="L60" s="161"/>
      <c r="M60" s="159" t="str">
        <f t="shared" si="4"/>
        <v/>
      </c>
      <c r="N60" s="160"/>
      <c r="O60" s="160"/>
      <c r="P60" s="160"/>
      <c r="Q60" s="161"/>
      <c r="R60" s="159" t="str">
        <f t="shared" si="6"/>
        <v/>
      </c>
      <c r="S60" s="160"/>
      <c r="T60" s="160"/>
      <c r="U60" s="160"/>
      <c r="V60" s="160"/>
      <c r="W60" s="161"/>
    </row>
    <row r="61" spans="1:30">
      <c r="A61" s="29">
        <v>10</v>
      </c>
      <c r="B61" s="159" t="str">
        <f t="shared" si="3"/>
        <v/>
      </c>
      <c r="C61" s="160"/>
      <c r="D61" s="160"/>
      <c r="E61" s="160"/>
      <c r="F61" s="161"/>
      <c r="G61" s="159" t="str">
        <f t="shared" si="5"/>
        <v/>
      </c>
      <c r="H61" s="160"/>
      <c r="I61" s="160"/>
      <c r="J61" s="160"/>
      <c r="K61" s="160"/>
      <c r="L61" s="161"/>
      <c r="M61" s="159" t="str">
        <f t="shared" si="4"/>
        <v/>
      </c>
      <c r="N61" s="160"/>
      <c r="O61" s="160"/>
      <c r="P61" s="160"/>
      <c r="Q61" s="161"/>
      <c r="R61" s="159" t="str">
        <f t="shared" si="6"/>
        <v/>
      </c>
      <c r="S61" s="160"/>
      <c r="T61" s="160"/>
      <c r="U61" s="160"/>
      <c r="V61" s="160"/>
      <c r="W61" s="161"/>
    </row>
    <row r="62" spans="1:30">
      <c r="A62" s="29">
        <v>11</v>
      </c>
      <c r="B62" s="159" t="str">
        <f t="shared" si="3"/>
        <v/>
      </c>
      <c r="C62" s="160"/>
      <c r="D62" s="160"/>
      <c r="E62" s="160"/>
      <c r="F62" s="161"/>
      <c r="G62" s="159" t="str">
        <f t="shared" si="5"/>
        <v/>
      </c>
      <c r="H62" s="160"/>
      <c r="I62" s="160"/>
      <c r="J62" s="160"/>
      <c r="K62" s="160"/>
      <c r="L62" s="161"/>
      <c r="M62" s="159" t="str">
        <f t="shared" si="4"/>
        <v/>
      </c>
      <c r="N62" s="160"/>
      <c r="O62" s="160"/>
      <c r="P62" s="160"/>
      <c r="Q62" s="161"/>
      <c r="R62" s="159" t="str">
        <f t="shared" si="6"/>
        <v/>
      </c>
      <c r="S62" s="160"/>
      <c r="T62" s="160"/>
      <c r="U62" s="160"/>
      <c r="V62" s="160"/>
      <c r="W62" s="161"/>
    </row>
    <row r="63" spans="1:30">
      <c r="A63" s="29">
        <v>12</v>
      </c>
      <c r="B63" s="159" t="str">
        <f t="shared" si="3"/>
        <v/>
      </c>
      <c r="C63" s="160"/>
      <c r="D63" s="160"/>
      <c r="E63" s="160"/>
      <c r="F63" s="161"/>
      <c r="G63" s="159" t="str">
        <f t="shared" si="5"/>
        <v/>
      </c>
      <c r="H63" s="160"/>
      <c r="I63" s="160"/>
      <c r="J63" s="160"/>
      <c r="K63" s="160"/>
      <c r="L63" s="161"/>
      <c r="M63" s="159" t="str">
        <f t="shared" si="4"/>
        <v/>
      </c>
      <c r="N63" s="160"/>
      <c r="O63" s="160"/>
      <c r="P63" s="160"/>
      <c r="Q63" s="161"/>
      <c r="R63" s="159" t="str">
        <f t="shared" si="6"/>
        <v/>
      </c>
      <c r="S63" s="160"/>
      <c r="T63" s="160"/>
      <c r="U63" s="160"/>
      <c r="V63" s="160"/>
      <c r="W63" s="161"/>
    </row>
    <row r="64" spans="1:30">
      <c r="A64" s="29">
        <v>13</v>
      </c>
      <c r="B64" s="159" t="str">
        <f t="shared" si="3"/>
        <v/>
      </c>
      <c r="C64" s="160"/>
      <c r="D64" s="160"/>
      <c r="E64" s="160"/>
      <c r="F64" s="161"/>
      <c r="G64" s="159" t="str">
        <f t="shared" si="5"/>
        <v/>
      </c>
      <c r="H64" s="160"/>
      <c r="I64" s="160"/>
      <c r="J64" s="160"/>
      <c r="K64" s="160"/>
      <c r="L64" s="161"/>
      <c r="M64" s="159" t="str">
        <f t="shared" si="4"/>
        <v/>
      </c>
      <c r="N64" s="160"/>
      <c r="O64" s="160"/>
      <c r="P64" s="160"/>
      <c r="Q64" s="161"/>
      <c r="R64" s="159" t="str">
        <f t="shared" si="6"/>
        <v/>
      </c>
      <c r="S64" s="160"/>
      <c r="T64" s="160"/>
      <c r="U64" s="160"/>
      <c r="V64" s="160"/>
      <c r="W64" s="161"/>
    </row>
    <row r="65" spans="1:23">
      <c r="A65" s="29">
        <v>14</v>
      </c>
      <c r="B65" s="159" t="str">
        <f t="shared" si="3"/>
        <v/>
      </c>
      <c r="C65" s="160"/>
      <c r="D65" s="160"/>
      <c r="E65" s="160"/>
      <c r="F65" s="161"/>
      <c r="G65" s="159" t="str">
        <f t="shared" si="5"/>
        <v/>
      </c>
      <c r="H65" s="160"/>
      <c r="I65" s="160"/>
      <c r="J65" s="160"/>
      <c r="K65" s="160"/>
      <c r="L65" s="161"/>
      <c r="M65" s="159" t="str">
        <f t="shared" si="4"/>
        <v/>
      </c>
      <c r="N65" s="160"/>
      <c r="O65" s="160"/>
      <c r="P65" s="160"/>
      <c r="Q65" s="161"/>
      <c r="R65" s="159" t="str">
        <f t="shared" si="6"/>
        <v/>
      </c>
      <c r="S65" s="160"/>
      <c r="T65" s="160"/>
      <c r="U65" s="160"/>
      <c r="V65" s="160"/>
      <c r="W65" s="161"/>
    </row>
    <row r="66" spans="1:23">
      <c r="A66" s="29">
        <v>15</v>
      </c>
      <c r="B66" s="159" t="str">
        <f t="shared" si="3"/>
        <v/>
      </c>
      <c r="C66" s="160"/>
      <c r="D66" s="160"/>
      <c r="E66" s="160"/>
      <c r="F66" s="161"/>
      <c r="G66" s="159" t="str">
        <f t="shared" si="5"/>
        <v/>
      </c>
      <c r="H66" s="160"/>
      <c r="I66" s="160"/>
      <c r="J66" s="160"/>
      <c r="K66" s="160"/>
      <c r="L66" s="161"/>
      <c r="M66" s="159" t="str">
        <f t="shared" si="4"/>
        <v/>
      </c>
      <c r="N66" s="160"/>
      <c r="O66" s="160"/>
      <c r="P66" s="160"/>
      <c r="Q66" s="161"/>
      <c r="R66" s="159" t="str">
        <f t="shared" si="6"/>
        <v/>
      </c>
      <c r="S66" s="160"/>
      <c r="T66" s="160"/>
      <c r="U66" s="160"/>
      <c r="V66" s="160"/>
      <c r="W66" s="161"/>
    </row>
    <row r="67" spans="1:23">
      <c r="A67" s="29">
        <v>16</v>
      </c>
      <c r="B67" s="159" t="str">
        <f t="shared" si="3"/>
        <v/>
      </c>
      <c r="C67" s="160"/>
      <c r="D67" s="160"/>
      <c r="E67" s="160"/>
      <c r="F67" s="161"/>
      <c r="G67" s="159" t="str">
        <f t="shared" si="5"/>
        <v/>
      </c>
      <c r="H67" s="160"/>
      <c r="I67" s="160"/>
      <c r="J67" s="160"/>
      <c r="K67" s="160"/>
      <c r="L67" s="161"/>
      <c r="M67" s="159" t="str">
        <f t="shared" si="4"/>
        <v/>
      </c>
      <c r="N67" s="160"/>
      <c r="O67" s="160"/>
      <c r="P67" s="160"/>
      <c r="Q67" s="161"/>
      <c r="R67" s="159" t="str">
        <f t="shared" si="6"/>
        <v/>
      </c>
      <c r="S67" s="160"/>
      <c r="T67" s="160"/>
      <c r="U67" s="160"/>
      <c r="V67" s="160"/>
      <c r="W67" s="161"/>
    </row>
    <row r="68" spans="1:23">
      <c r="A68" s="29">
        <v>17</v>
      </c>
      <c r="B68" s="159" t="str">
        <f t="shared" si="3"/>
        <v/>
      </c>
      <c r="C68" s="160"/>
      <c r="D68" s="160"/>
      <c r="E68" s="160"/>
      <c r="F68" s="161"/>
      <c r="G68" s="159" t="str">
        <f t="shared" si="5"/>
        <v/>
      </c>
      <c r="H68" s="160"/>
      <c r="I68" s="160"/>
      <c r="J68" s="160"/>
      <c r="K68" s="160"/>
      <c r="L68" s="161"/>
      <c r="M68" s="159" t="str">
        <f t="shared" si="4"/>
        <v/>
      </c>
      <c r="N68" s="160"/>
      <c r="O68" s="160"/>
      <c r="P68" s="160"/>
      <c r="Q68" s="161"/>
      <c r="R68" s="159" t="str">
        <f t="shared" si="6"/>
        <v/>
      </c>
      <c r="S68" s="160"/>
      <c r="T68" s="160"/>
      <c r="U68" s="160"/>
      <c r="V68" s="160"/>
      <c r="W68" s="161"/>
    </row>
    <row r="69" spans="1:23">
      <c r="A69" s="29">
        <v>18</v>
      </c>
      <c r="B69" s="159" t="str">
        <f t="shared" si="3"/>
        <v/>
      </c>
      <c r="C69" s="160"/>
      <c r="D69" s="160"/>
      <c r="E69" s="160"/>
      <c r="F69" s="161"/>
      <c r="G69" s="159" t="str">
        <f t="shared" si="5"/>
        <v/>
      </c>
      <c r="H69" s="160"/>
      <c r="I69" s="160"/>
      <c r="J69" s="160"/>
      <c r="K69" s="160"/>
      <c r="L69" s="161"/>
      <c r="M69" s="159" t="str">
        <f t="shared" si="4"/>
        <v/>
      </c>
      <c r="N69" s="160"/>
      <c r="O69" s="160"/>
      <c r="P69" s="160"/>
      <c r="Q69" s="161"/>
      <c r="R69" s="159" t="str">
        <f t="shared" si="6"/>
        <v/>
      </c>
      <c r="S69" s="160"/>
      <c r="T69" s="160"/>
      <c r="U69" s="160"/>
      <c r="V69" s="160"/>
      <c r="W69" s="161"/>
    </row>
    <row r="70" spans="1:23">
      <c r="A70" s="29">
        <v>19</v>
      </c>
      <c r="B70" s="159" t="str">
        <f t="shared" si="3"/>
        <v/>
      </c>
      <c r="C70" s="160"/>
      <c r="D70" s="160"/>
      <c r="E70" s="160"/>
      <c r="F70" s="161"/>
      <c r="G70" s="159" t="str">
        <f t="shared" si="5"/>
        <v/>
      </c>
      <c r="H70" s="160"/>
      <c r="I70" s="160"/>
      <c r="J70" s="160"/>
      <c r="K70" s="160"/>
      <c r="L70" s="161"/>
      <c r="M70" s="159" t="str">
        <f t="shared" si="4"/>
        <v/>
      </c>
      <c r="N70" s="160"/>
      <c r="O70" s="160"/>
      <c r="P70" s="160"/>
      <c r="Q70" s="161"/>
      <c r="R70" s="159" t="str">
        <f t="shared" si="6"/>
        <v/>
      </c>
      <c r="S70" s="160"/>
      <c r="T70" s="160"/>
      <c r="U70" s="160"/>
      <c r="V70" s="160"/>
      <c r="W70" s="161"/>
    </row>
    <row r="71" spans="1:23">
      <c r="A71" s="29">
        <v>20</v>
      </c>
      <c r="B71" s="159" t="str">
        <f t="shared" si="3"/>
        <v/>
      </c>
      <c r="C71" s="160"/>
      <c r="D71" s="160"/>
      <c r="E71" s="160"/>
      <c r="F71" s="161"/>
      <c r="G71" s="159" t="str">
        <f t="shared" si="5"/>
        <v/>
      </c>
      <c r="H71" s="160"/>
      <c r="I71" s="160"/>
      <c r="J71" s="160"/>
      <c r="K71" s="160"/>
      <c r="L71" s="161"/>
      <c r="M71" s="159" t="str">
        <f t="shared" si="4"/>
        <v/>
      </c>
      <c r="N71" s="160"/>
      <c r="O71" s="160"/>
      <c r="P71" s="160"/>
      <c r="Q71" s="161"/>
      <c r="R71" s="159" t="str">
        <f t="shared" si="6"/>
        <v/>
      </c>
      <c r="S71" s="160"/>
      <c r="T71" s="160"/>
      <c r="U71" s="160"/>
      <c r="V71" s="160"/>
      <c r="W71" s="161"/>
    </row>
    <row r="72" spans="1:23">
      <c r="A72" s="29">
        <v>21</v>
      </c>
      <c r="B72" s="159" t="str">
        <f t="shared" si="3"/>
        <v/>
      </c>
      <c r="C72" s="160"/>
      <c r="D72" s="160"/>
      <c r="E72" s="160"/>
      <c r="F72" s="161"/>
      <c r="G72" s="159" t="str">
        <f t="shared" si="5"/>
        <v/>
      </c>
      <c r="H72" s="160"/>
      <c r="I72" s="160"/>
      <c r="J72" s="160"/>
      <c r="K72" s="160"/>
      <c r="L72" s="161"/>
      <c r="M72" s="159" t="str">
        <f t="shared" si="4"/>
        <v/>
      </c>
      <c r="N72" s="160"/>
      <c r="O72" s="160"/>
      <c r="P72" s="160"/>
      <c r="Q72" s="161"/>
      <c r="R72" s="159" t="str">
        <f t="shared" si="6"/>
        <v/>
      </c>
      <c r="S72" s="160"/>
      <c r="T72" s="160"/>
      <c r="U72" s="160"/>
      <c r="V72" s="160"/>
      <c r="W72" s="161"/>
    </row>
    <row r="73" spans="1:23">
      <c r="A73" s="29">
        <v>22</v>
      </c>
      <c r="B73" s="159" t="str">
        <f t="shared" si="3"/>
        <v/>
      </c>
      <c r="C73" s="160"/>
      <c r="D73" s="160"/>
      <c r="E73" s="160"/>
      <c r="F73" s="161"/>
      <c r="G73" s="159" t="str">
        <f t="shared" si="5"/>
        <v/>
      </c>
      <c r="H73" s="160"/>
      <c r="I73" s="160"/>
      <c r="J73" s="160"/>
      <c r="K73" s="160"/>
      <c r="L73" s="161"/>
      <c r="M73" s="159" t="str">
        <f t="shared" si="4"/>
        <v/>
      </c>
      <c r="N73" s="160"/>
      <c r="O73" s="160"/>
      <c r="P73" s="160"/>
      <c r="Q73" s="161"/>
      <c r="R73" s="159" t="str">
        <f t="shared" si="6"/>
        <v/>
      </c>
      <c r="S73" s="160"/>
      <c r="T73" s="160"/>
      <c r="U73" s="160"/>
      <c r="V73" s="160"/>
      <c r="W73" s="161"/>
    </row>
    <row r="74" spans="1:23">
      <c r="A74" s="29">
        <v>23</v>
      </c>
      <c r="B74" s="159" t="str">
        <f t="shared" si="3"/>
        <v/>
      </c>
      <c r="C74" s="160"/>
      <c r="D74" s="160"/>
      <c r="E74" s="160"/>
      <c r="F74" s="161"/>
      <c r="G74" s="159" t="str">
        <f t="shared" si="5"/>
        <v/>
      </c>
      <c r="H74" s="160"/>
      <c r="I74" s="160"/>
      <c r="J74" s="160"/>
      <c r="K74" s="160"/>
      <c r="L74" s="161"/>
      <c r="M74" s="159" t="str">
        <f t="shared" si="4"/>
        <v/>
      </c>
      <c r="N74" s="160"/>
      <c r="O74" s="160"/>
      <c r="P74" s="160"/>
      <c r="Q74" s="161"/>
      <c r="R74" s="159" t="str">
        <f t="shared" si="6"/>
        <v/>
      </c>
      <c r="S74" s="160"/>
      <c r="T74" s="160"/>
      <c r="U74" s="160"/>
      <c r="V74" s="160"/>
      <c r="W74" s="161"/>
    </row>
    <row r="75" spans="1:23">
      <c r="A75" s="29">
        <v>24</v>
      </c>
      <c r="B75" s="159" t="str">
        <f t="shared" si="3"/>
        <v/>
      </c>
      <c r="C75" s="160"/>
      <c r="D75" s="160"/>
      <c r="E75" s="160"/>
      <c r="F75" s="161"/>
      <c r="G75" s="159" t="str">
        <f t="shared" si="5"/>
        <v/>
      </c>
      <c r="H75" s="160"/>
      <c r="I75" s="160"/>
      <c r="J75" s="160"/>
      <c r="K75" s="160"/>
      <c r="L75" s="161"/>
      <c r="M75" s="159" t="str">
        <f t="shared" si="4"/>
        <v/>
      </c>
      <c r="N75" s="160"/>
      <c r="O75" s="160"/>
      <c r="P75" s="160"/>
      <c r="Q75" s="161"/>
      <c r="R75" s="159" t="str">
        <f t="shared" si="6"/>
        <v/>
      </c>
      <c r="S75" s="160"/>
      <c r="T75" s="160"/>
      <c r="U75" s="160"/>
      <c r="V75" s="160"/>
      <c r="W75" s="161"/>
    </row>
    <row r="76" spans="1:23">
      <c r="A76" s="29">
        <v>25</v>
      </c>
      <c r="B76" s="159" t="str">
        <f t="shared" si="3"/>
        <v/>
      </c>
      <c r="C76" s="160"/>
      <c r="D76" s="160"/>
      <c r="E76" s="160"/>
      <c r="F76" s="161"/>
      <c r="G76" s="159" t="str">
        <f t="shared" si="5"/>
        <v/>
      </c>
      <c r="H76" s="160"/>
      <c r="I76" s="160"/>
      <c r="J76" s="160"/>
      <c r="K76" s="160"/>
      <c r="L76" s="161"/>
      <c r="M76" s="159" t="str">
        <f t="shared" si="4"/>
        <v/>
      </c>
      <c r="N76" s="160"/>
      <c r="O76" s="160"/>
      <c r="P76" s="160"/>
      <c r="Q76" s="161"/>
      <c r="R76" s="159" t="str">
        <f t="shared" si="6"/>
        <v/>
      </c>
      <c r="S76" s="160"/>
      <c r="T76" s="160"/>
      <c r="U76" s="160"/>
      <c r="V76" s="160"/>
      <c r="W76" s="161"/>
    </row>
    <row r="77" spans="1:23">
      <c r="A77" s="29">
        <v>26</v>
      </c>
      <c r="B77" s="159" t="str">
        <f t="shared" si="3"/>
        <v/>
      </c>
      <c r="C77" s="160"/>
      <c r="D77" s="160"/>
      <c r="E77" s="160"/>
      <c r="F77" s="161"/>
      <c r="G77" s="159" t="str">
        <f t="shared" si="5"/>
        <v/>
      </c>
      <c r="H77" s="160"/>
      <c r="I77" s="160"/>
      <c r="J77" s="160"/>
      <c r="K77" s="160"/>
      <c r="L77" s="161"/>
      <c r="M77" s="159" t="str">
        <f t="shared" si="4"/>
        <v/>
      </c>
      <c r="N77" s="160"/>
      <c r="O77" s="160"/>
      <c r="P77" s="160"/>
      <c r="Q77" s="161"/>
      <c r="R77" s="159" t="str">
        <f t="shared" si="6"/>
        <v/>
      </c>
      <c r="S77" s="160"/>
      <c r="T77" s="160"/>
      <c r="U77" s="160"/>
      <c r="V77" s="160"/>
      <c r="W77" s="161"/>
    </row>
    <row r="78" spans="1:23">
      <c r="A78" s="29">
        <v>27</v>
      </c>
      <c r="B78" s="159" t="str">
        <f t="shared" si="3"/>
        <v/>
      </c>
      <c r="C78" s="160"/>
      <c r="D78" s="160"/>
      <c r="E78" s="160"/>
      <c r="F78" s="161"/>
      <c r="G78" s="159" t="str">
        <f t="shared" si="5"/>
        <v/>
      </c>
      <c r="H78" s="160"/>
      <c r="I78" s="160"/>
      <c r="J78" s="160"/>
      <c r="K78" s="160"/>
      <c r="L78" s="161"/>
      <c r="M78" s="159" t="str">
        <f t="shared" si="4"/>
        <v/>
      </c>
      <c r="N78" s="160"/>
      <c r="O78" s="160"/>
      <c r="P78" s="160"/>
      <c r="Q78" s="161"/>
      <c r="R78" s="159" t="str">
        <f t="shared" si="6"/>
        <v/>
      </c>
      <c r="S78" s="160"/>
      <c r="T78" s="160"/>
      <c r="U78" s="160"/>
      <c r="V78" s="160"/>
      <c r="W78" s="161"/>
    </row>
    <row r="79" spans="1:23">
      <c r="A79" s="29">
        <v>28</v>
      </c>
      <c r="B79" s="159" t="str">
        <f t="shared" si="3"/>
        <v/>
      </c>
      <c r="C79" s="160"/>
      <c r="D79" s="160"/>
      <c r="E79" s="160"/>
      <c r="F79" s="161"/>
      <c r="G79" s="159" t="str">
        <f t="shared" si="5"/>
        <v/>
      </c>
      <c r="H79" s="160"/>
      <c r="I79" s="160"/>
      <c r="J79" s="160"/>
      <c r="K79" s="160"/>
      <c r="L79" s="161"/>
      <c r="M79" s="159" t="str">
        <f t="shared" si="4"/>
        <v/>
      </c>
      <c r="N79" s="160"/>
      <c r="O79" s="160"/>
      <c r="P79" s="160"/>
      <c r="Q79" s="161"/>
      <c r="R79" s="159" t="str">
        <f t="shared" si="6"/>
        <v/>
      </c>
      <c r="S79" s="160"/>
      <c r="T79" s="160"/>
      <c r="U79" s="160"/>
      <c r="V79" s="160"/>
      <c r="W79" s="161"/>
    </row>
    <row r="80" spans="1:23">
      <c r="A80" s="29">
        <v>29</v>
      </c>
      <c r="B80" s="159" t="str">
        <f t="shared" si="3"/>
        <v/>
      </c>
      <c r="C80" s="160"/>
      <c r="D80" s="160"/>
      <c r="E80" s="160"/>
      <c r="F80" s="161"/>
      <c r="G80" s="159" t="str">
        <f t="shared" si="5"/>
        <v/>
      </c>
      <c r="H80" s="160"/>
      <c r="I80" s="160"/>
      <c r="J80" s="160"/>
      <c r="K80" s="160"/>
      <c r="L80" s="161"/>
      <c r="M80" s="159" t="str">
        <f t="shared" si="4"/>
        <v/>
      </c>
      <c r="N80" s="160"/>
      <c r="O80" s="160"/>
      <c r="P80" s="160"/>
      <c r="Q80" s="161"/>
      <c r="R80" s="159" t="str">
        <f t="shared" si="6"/>
        <v/>
      </c>
      <c r="S80" s="160"/>
      <c r="T80" s="160"/>
      <c r="U80" s="160"/>
      <c r="V80" s="160"/>
      <c r="W80" s="161"/>
    </row>
    <row r="81" spans="1:23">
      <c r="A81" s="29">
        <v>30</v>
      </c>
      <c r="B81" s="159" t="str">
        <f t="shared" si="3"/>
        <v/>
      </c>
      <c r="C81" s="160"/>
      <c r="D81" s="160"/>
      <c r="E81" s="160"/>
      <c r="F81" s="161"/>
      <c r="G81" s="159" t="str">
        <f t="shared" si="5"/>
        <v/>
      </c>
      <c r="H81" s="160"/>
      <c r="I81" s="160"/>
      <c r="J81" s="160"/>
      <c r="K81" s="160"/>
      <c r="L81" s="161"/>
      <c r="M81" s="159" t="str">
        <f t="shared" si="4"/>
        <v/>
      </c>
      <c r="N81" s="160"/>
      <c r="O81" s="160"/>
      <c r="P81" s="160"/>
      <c r="Q81" s="161"/>
      <c r="R81" s="159" t="str">
        <f t="shared" si="6"/>
        <v/>
      </c>
      <c r="S81" s="160"/>
      <c r="T81" s="160"/>
      <c r="U81" s="160"/>
      <c r="V81" s="160"/>
      <c r="W81" s="161"/>
    </row>
    <row r="82" spans="1:23">
      <c r="A82" s="29">
        <v>31</v>
      </c>
      <c r="B82" s="159" t="str">
        <f t="shared" si="3"/>
        <v/>
      </c>
      <c r="C82" s="160"/>
      <c r="D82" s="160"/>
      <c r="E82" s="160"/>
      <c r="F82" s="161"/>
      <c r="G82" s="159" t="str">
        <f t="shared" si="5"/>
        <v/>
      </c>
      <c r="H82" s="160"/>
      <c r="I82" s="160"/>
      <c r="J82" s="160"/>
      <c r="K82" s="160"/>
      <c r="L82" s="161"/>
      <c r="M82" s="159" t="str">
        <f t="shared" si="4"/>
        <v/>
      </c>
      <c r="N82" s="160"/>
      <c r="O82" s="160"/>
      <c r="P82" s="160"/>
      <c r="Q82" s="161"/>
      <c r="R82" s="159" t="str">
        <f t="shared" si="6"/>
        <v/>
      </c>
      <c r="S82" s="160"/>
      <c r="T82" s="160"/>
      <c r="U82" s="160"/>
      <c r="V82" s="160"/>
      <c r="W82" s="161"/>
    </row>
  </sheetData>
  <mergeCells count="190">
    <mergeCell ref="M82:Q82"/>
    <mergeCell ref="R82:W82"/>
    <mergeCell ref="M79:Q79"/>
    <mergeCell ref="R79:W79"/>
    <mergeCell ref="M80:Q80"/>
    <mergeCell ref="R80:W80"/>
    <mergeCell ref="M81:Q81"/>
    <mergeCell ref="R81:W81"/>
    <mergeCell ref="M76:Q76"/>
    <mergeCell ref="R76:W76"/>
    <mergeCell ref="M77:Q77"/>
    <mergeCell ref="R77:W77"/>
    <mergeCell ref="M78:Q78"/>
    <mergeCell ref="R78:W78"/>
    <mergeCell ref="M73:Q73"/>
    <mergeCell ref="R73:W73"/>
    <mergeCell ref="M74:Q74"/>
    <mergeCell ref="R74:W74"/>
    <mergeCell ref="M75:Q75"/>
    <mergeCell ref="R75:W75"/>
    <mergeCell ref="M70:Q70"/>
    <mergeCell ref="R70:W70"/>
    <mergeCell ref="M71:Q71"/>
    <mergeCell ref="R71:W71"/>
    <mergeCell ref="M72:Q72"/>
    <mergeCell ref="R72:W72"/>
    <mergeCell ref="M67:Q67"/>
    <mergeCell ref="R67:W67"/>
    <mergeCell ref="M68:Q68"/>
    <mergeCell ref="R68:W68"/>
    <mergeCell ref="M69:Q69"/>
    <mergeCell ref="R69:W69"/>
    <mergeCell ref="M64:Q64"/>
    <mergeCell ref="R64:W64"/>
    <mergeCell ref="M65:Q65"/>
    <mergeCell ref="R65:W65"/>
    <mergeCell ref="M66:Q66"/>
    <mergeCell ref="R66:W66"/>
    <mergeCell ref="M61:Q61"/>
    <mergeCell ref="R61:W61"/>
    <mergeCell ref="M62:Q62"/>
    <mergeCell ref="R62:W62"/>
    <mergeCell ref="M63:Q63"/>
    <mergeCell ref="R63:W63"/>
    <mergeCell ref="M58:Q58"/>
    <mergeCell ref="R58:W58"/>
    <mergeCell ref="M59:Q59"/>
    <mergeCell ref="R59:W59"/>
    <mergeCell ref="M60:Q60"/>
    <mergeCell ref="R60:W60"/>
    <mergeCell ref="B82:F82"/>
    <mergeCell ref="M50:W50"/>
    <mergeCell ref="M51:Q51"/>
    <mergeCell ref="R51:W51"/>
    <mergeCell ref="M52:Q52"/>
    <mergeCell ref="R52:W52"/>
    <mergeCell ref="M53:Q53"/>
    <mergeCell ref="R53:W53"/>
    <mergeCell ref="M54:Q54"/>
    <mergeCell ref="R54:W54"/>
    <mergeCell ref="M55:Q55"/>
    <mergeCell ref="R55:W55"/>
    <mergeCell ref="M56:Q56"/>
    <mergeCell ref="R56:W56"/>
    <mergeCell ref="M57:Q57"/>
    <mergeCell ref="R57:W57"/>
    <mergeCell ref="B77:F77"/>
    <mergeCell ref="B78:F78"/>
    <mergeCell ref="B79:F79"/>
    <mergeCell ref="B80:F80"/>
    <mergeCell ref="B81:F81"/>
    <mergeCell ref="B72:F72"/>
    <mergeCell ref="B73:F73"/>
    <mergeCell ref="B74:F74"/>
    <mergeCell ref="B75:F75"/>
    <mergeCell ref="B76:F76"/>
    <mergeCell ref="B67:F67"/>
    <mergeCell ref="B68:F68"/>
    <mergeCell ref="B69:F69"/>
    <mergeCell ref="B70:F70"/>
    <mergeCell ref="B71:F71"/>
    <mergeCell ref="B62:F62"/>
    <mergeCell ref="B63:F63"/>
    <mergeCell ref="B64:F64"/>
    <mergeCell ref="B65:F65"/>
    <mergeCell ref="B66:F66"/>
    <mergeCell ref="B57:F57"/>
    <mergeCell ref="B58:F58"/>
    <mergeCell ref="B59:F59"/>
    <mergeCell ref="B60:F60"/>
    <mergeCell ref="B61:F61"/>
    <mergeCell ref="B52:F52"/>
    <mergeCell ref="B53:F53"/>
    <mergeCell ref="B54:F54"/>
    <mergeCell ref="B55:F55"/>
    <mergeCell ref="B56:F56"/>
    <mergeCell ref="G78:L78"/>
    <mergeCell ref="G79:L79"/>
    <mergeCell ref="G80:L80"/>
    <mergeCell ref="G81:L81"/>
    <mergeCell ref="G82:L82"/>
    <mergeCell ref="G73:L73"/>
    <mergeCell ref="G74:L74"/>
    <mergeCell ref="G75:L75"/>
    <mergeCell ref="G76:L76"/>
    <mergeCell ref="G77:L77"/>
    <mergeCell ref="G68:L68"/>
    <mergeCell ref="G69:L69"/>
    <mergeCell ref="G70:L70"/>
    <mergeCell ref="G71:L71"/>
    <mergeCell ref="G72:L72"/>
    <mergeCell ref="G63:L63"/>
    <mergeCell ref="G64:L64"/>
    <mergeCell ref="G65:L65"/>
    <mergeCell ref="G66:L66"/>
    <mergeCell ref="G67:L67"/>
    <mergeCell ref="A50:L50"/>
    <mergeCell ref="B51:F51"/>
    <mergeCell ref="G51:L51"/>
    <mergeCell ref="G52:L52"/>
    <mergeCell ref="G53:L53"/>
    <mergeCell ref="G54:L54"/>
    <mergeCell ref="G55:L55"/>
    <mergeCell ref="G56:L56"/>
    <mergeCell ref="G57:L57"/>
    <mergeCell ref="G58:L58"/>
    <mergeCell ref="G59:L59"/>
    <mergeCell ref="G60:L60"/>
    <mergeCell ref="G61:L61"/>
    <mergeCell ref="G62:L62"/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4:L4"/>
    <mergeCell ref="A5:B5"/>
    <mergeCell ref="C5:D5"/>
    <mergeCell ref="E5:F5"/>
    <mergeCell ref="G5:H5"/>
    <mergeCell ref="J5:L5"/>
    <mergeCell ref="A3:B3"/>
    <mergeCell ref="C3:D3"/>
    <mergeCell ref="F3:H3"/>
    <mergeCell ref="A4:B4"/>
    <mergeCell ref="C4:D4"/>
    <mergeCell ref="F4:H4"/>
    <mergeCell ref="A1:B1"/>
    <mergeCell ref="C1:D1"/>
    <mergeCell ref="E1:E2"/>
    <mergeCell ref="F1:H2"/>
    <mergeCell ref="A2:B2"/>
    <mergeCell ref="C2:D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9525</xdr:colOff>
                    <xdr:row>0</xdr:row>
                    <xdr:rowOff>19050</xdr:rowOff>
                  </from>
                  <to>
                    <xdr:col>14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8C9C8-2614-4004-85F5-3FDE8C212EE5}">
  <sheetPr codeName="Sheet3"/>
  <dimension ref="A1:AD82"/>
  <sheetViews>
    <sheetView topLeftCell="O34" workbookViewId="0">
      <selection activeCell="R57" sqref="R53:W57"/>
    </sheetView>
  </sheetViews>
  <sheetFormatPr defaultRowHeight="16.5"/>
  <cols>
    <col min="1" max="1" width="6.875" customWidth="1"/>
    <col min="2" max="2" width="29.375" bestFit="1" customWidth="1"/>
    <col min="3" max="3" width="28.625" customWidth="1"/>
    <col min="4" max="4" width="6.875" customWidth="1"/>
    <col min="5" max="5" width="13.375" customWidth="1"/>
    <col min="6" max="6" width="7.125" customWidth="1"/>
    <col min="7" max="7" width="3.625" bestFit="1" customWidth="1"/>
    <col min="8" max="8" width="10.75" customWidth="1"/>
    <col min="9" max="9" width="14.125" customWidth="1"/>
    <col min="10" max="10" width="11.875" customWidth="1"/>
    <col min="11" max="11" width="10.375" customWidth="1"/>
    <col min="12" max="12" width="10.75" customWidth="1"/>
    <col min="13" max="13" width="4.25" customWidth="1"/>
    <col min="14" max="14" width="9" style="18"/>
    <col min="15" max="15" width="10.5" customWidth="1"/>
  </cols>
  <sheetData>
    <row r="1" spans="1:30" ht="16.5" customHeight="1">
      <c r="A1" s="124" t="s">
        <v>1</v>
      </c>
      <c r="B1" s="125"/>
      <c r="C1" s="122" t="s">
        <v>38</v>
      </c>
      <c r="D1" s="122"/>
      <c r="E1" s="122" t="s">
        <v>19</v>
      </c>
      <c r="F1" s="141" t="s">
        <v>2</v>
      </c>
      <c r="G1" s="141"/>
      <c r="H1" s="142"/>
      <c r="I1" s="16" t="s">
        <v>3</v>
      </c>
      <c r="J1" s="6" t="s">
        <v>39</v>
      </c>
      <c r="K1" s="11" t="s">
        <v>4</v>
      </c>
      <c r="L1" s="13">
        <v>43755</v>
      </c>
      <c r="M1" s="34"/>
    </row>
    <row r="2" spans="1:30" ht="16.5" customHeight="1">
      <c r="A2" s="126" t="s">
        <v>5</v>
      </c>
      <c r="B2" s="127"/>
      <c r="C2" s="122"/>
      <c r="D2" s="122"/>
      <c r="E2" s="122"/>
      <c r="F2" s="143"/>
      <c r="G2" s="143"/>
      <c r="H2" s="144"/>
      <c r="I2" s="1" t="s">
        <v>6</v>
      </c>
      <c r="J2" s="6"/>
      <c r="K2" s="15" t="s">
        <v>7</v>
      </c>
      <c r="L2" s="13"/>
      <c r="M2" s="34"/>
    </row>
    <row r="3" spans="1:30">
      <c r="A3" s="128" t="s">
        <v>0</v>
      </c>
      <c r="B3" s="129"/>
      <c r="C3" s="139"/>
      <c r="D3" s="140"/>
      <c r="E3" s="23" t="s">
        <v>8</v>
      </c>
      <c r="F3" s="145" t="s">
        <v>29</v>
      </c>
      <c r="G3" s="145"/>
      <c r="H3" s="145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PRODUCTIONLIST ;</v>
      </c>
    </row>
    <row r="4" spans="1:30" ht="16.5" customHeight="1">
      <c r="A4" s="122" t="s">
        <v>12</v>
      </c>
      <c r="B4" s="122"/>
      <c r="C4" s="122"/>
      <c r="D4" s="122"/>
      <c r="E4" s="6" t="s">
        <v>13</v>
      </c>
      <c r="F4" s="123" t="s">
        <v>122</v>
      </c>
      <c r="G4" s="123"/>
      <c r="H4" s="123"/>
      <c r="I4" s="55" t="s">
        <v>14</v>
      </c>
      <c r="J4" s="132" t="s">
        <v>112</v>
      </c>
      <c r="K4" s="133"/>
      <c r="L4" s="134"/>
      <c r="M4" s="36"/>
      <c r="N4" s="20"/>
      <c r="O4" s="17"/>
    </row>
    <row r="5" spans="1:30" ht="16.5" customHeight="1">
      <c r="A5" s="135" t="s">
        <v>31</v>
      </c>
      <c r="B5" s="136"/>
      <c r="C5" s="135"/>
      <c r="D5" s="136"/>
      <c r="E5" s="137" t="s">
        <v>33</v>
      </c>
      <c r="F5" s="138"/>
      <c r="G5" s="132" t="s">
        <v>34</v>
      </c>
      <c r="H5" s="134"/>
      <c r="I5" s="55" t="s">
        <v>32</v>
      </c>
      <c r="J5" s="132"/>
      <c r="K5" s="133"/>
      <c r="L5" s="134"/>
      <c r="M5" s="36"/>
      <c r="N5" s="20"/>
      <c r="O5" s="17"/>
    </row>
    <row r="6" spans="1:30" s="3" customFormat="1" ht="13.5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0" t="s">
        <v>37</v>
      </c>
      <c r="K6" s="131"/>
      <c r="L6" s="107" t="s">
        <v>26</v>
      </c>
      <c r="M6" s="37"/>
      <c r="N6" s="71" t="str">
        <f>CONCATENATE("CREATE TABLE ",$F$4," (")</f>
        <v>CREATE TABLE PRODUCTIONLIST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PRODUCTIONLIST IS '제품 생산 기록'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 s="27" customFormat="1" ht="13.5" customHeight="1">
      <c r="A7" s="104">
        <v>1</v>
      </c>
      <c r="B7" s="59" t="s">
        <v>98</v>
      </c>
      <c r="C7" s="59" t="s">
        <v>61</v>
      </c>
      <c r="D7" s="67" t="s">
        <v>43</v>
      </c>
      <c r="E7" s="88" t="s">
        <v>62</v>
      </c>
      <c r="F7" s="91"/>
      <c r="G7" s="95" t="s">
        <v>25</v>
      </c>
      <c r="H7" s="95"/>
      <c r="I7" s="96"/>
      <c r="J7" s="121" t="s">
        <v>73</v>
      </c>
      <c r="K7" s="121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ProductionCode                 INT  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PRODUCTIONLIST.ProductionCode IS '제품기록코드  ( AUTO_INCREMENT )' ;</v>
      </c>
      <c r="V7" s="75"/>
      <c r="W7" s="75"/>
      <c r="X7" s="75"/>
      <c r="Y7" s="75"/>
      <c r="Z7" s="75"/>
      <c r="AA7" s="75"/>
      <c r="AB7" s="75"/>
      <c r="AC7" s="75"/>
    </row>
    <row r="8" spans="1:30" s="3" customFormat="1" ht="14.25">
      <c r="A8" s="104">
        <v>2</v>
      </c>
      <c r="B8" s="59" t="s">
        <v>75</v>
      </c>
      <c r="C8" s="59" t="s">
        <v>40</v>
      </c>
      <c r="D8" s="67" t="s">
        <v>43</v>
      </c>
      <c r="E8" s="88" t="s">
        <v>45</v>
      </c>
      <c r="F8" s="92">
        <v>5</v>
      </c>
      <c r="G8" s="95"/>
      <c r="H8" s="98" t="s">
        <v>91</v>
      </c>
      <c r="I8" s="59"/>
      <c r="J8" s="121"/>
      <c r="K8" s="121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MachineID                      CHAR (5)   NOT NULL  ,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PRODUCTIONLIST.MachineID IS '기계ID' ;</v>
      </c>
      <c r="V8" s="72"/>
      <c r="W8" s="72"/>
      <c r="X8" s="72"/>
      <c r="Y8" s="72"/>
      <c r="Z8" s="72"/>
      <c r="AA8" s="72"/>
      <c r="AB8" s="72"/>
      <c r="AC8" s="72"/>
    </row>
    <row r="9" spans="1:30" s="27" customFormat="1" ht="18.600000000000001" customHeight="1">
      <c r="A9" s="104">
        <v>3</v>
      </c>
      <c r="B9" s="59" t="s">
        <v>85</v>
      </c>
      <c r="C9" s="59" t="s">
        <v>63</v>
      </c>
      <c r="D9" s="67" t="s">
        <v>43</v>
      </c>
      <c r="E9" s="88" t="s">
        <v>45</v>
      </c>
      <c r="F9" s="92">
        <v>5</v>
      </c>
      <c r="G9" s="95"/>
      <c r="H9" s="95" t="s">
        <v>92</v>
      </c>
      <c r="I9" s="96"/>
      <c r="J9" s="147" t="s">
        <v>64</v>
      </c>
      <c r="K9" s="147"/>
      <c r="L9" s="97"/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ProductionID                   CHAR (5)   NOT NULL  ,</v>
      </c>
      <c r="O9" s="74"/>
      <c r="P9" s="75"/>
      <c r="Q9" s="75"/>
      <c r="R9" s="75"/>
      <c r="S9" s="75"/>
      <c r="T9" s="75"/>
      <c r="U9" s="73" t="str">
        <f t="shared" si="0"/>
        <v>COMMENT ON COLUMN PRODUCTIONLIST.ProductionID IS '제품ID  ( 생산가능제품인지? )' ;</v>
      </c>
      <c r="V9" s="75"/>
      <c r="W9" s="75"/>
      <c r="X9" s="75"/>
      <c r="Y9" s="75"/>
      <c r="Z9" s="75"/>
      <c r="AA9" s="75"/>
      <c r="AB9" s="75"/>
      <c r="AC9" s="75"/>
    </row>
    <row r="10" spans="1:30" s="27" customFormat="1" ht="14.25">
      <c r="A10" s="104">
        <v>4</v>
      </c>
      <c r="B10" s="59" t="s">
        <v>86</v>
      </c>
      <c r="C10" s="65" t="s">
        <v>65</v>
      </c>
      <c r="D10" s="67" t="s">
        <v>43</v>
      </c>
      <c r="E10" s="89" t="s">
        <v>66</v>
      </c>
      <c r="F10" s="93"/>
      <c r="G10" s="95"/>
      <c r="H10" s="95" t="s">
        <v>93</v>
      </c>
      <c r="I10" s="96"/>
      <c r="J10" s="148"/>
      <c r="K10" s="148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TodoCode                       INT     NOT NULL  ,</v>
      </c>
      <c r="O10" s="74"/>
      <c r="P10" s="75"/>
      <c r="Q10" s="75"/>
      <c r="R10" s="75"/>
      <c r="S10" s="75"/>
      <c r="T10" s="75"/>
      <c r="U10" s="73" t="str">
        <f t="shared" si="0"/>
        <v>COMMENT ON COLUMN PRODUCTIONLIST.TodoCode IS '작업지시코드' ;</v>
      </c>
      <c r="V10" s="75"/>
      <c r="W10" s="75"/>
      <c r="X10" s="75"/>
      <c r="Y10" s="75"/>
      <c r="Z10" s="75"/>
      <c r="AA10" s="75"/>
      <c r="AB10" s="75"/>
      <c r="AC10" s="75"/>
    </row>
    <row r="11" spans="1:30" s="27" customFormat="1" ht="14.25">
      <c r="A11" s="104">
        <v>5</v>
      </c>
      <c r="B11" s="59" t="s">
        <v>77</v>
      </c>
      <c r="C11" s="59" t="s">
        <v>48</v>
      </c>
      <c r="D11" s="67" t="s">
        <v>43</v>
      </c>
      <c r="E11" s="88" t="s">
        <v>45</v>
      </c>
      <c r="F11" s="92">
        <v>5</v>
      </c>
      <c r="G11" s="95"/>
      <c r="H11" s="95" t="s">
        <v>123</v>
      </c>
      <c r="I11" s="96"/>
      <c r="J11" s="147" t="s">
        <v>67</v>
      </c>
      <c r="K11" s="147"/>
      <c r="L11" s="97"/>
      <c r="M11" s="28"/>
      <c r="N11" s="71" t="str">
        <f t="shared" si="1"/>
        <v>EmployeeCode                   CHAR (5)   NOT NULL  ,</v>
      </c>
      <c r="O11" s="74"/>
      <c r="P11" s="75"/>
      <c r="Q11" s="75"/>
      <c r="R11" s="75"/>
      <c r="S11" s="75"/>
      <c r="T11" s="75"/>
      <c r="U11" s="73" t="str">
        <f t="shared" si="0"/>
        <v>COMMENT ON COLUMN PRODUCTIONLIST.EmployeeCode IS '직원ID  ( 생산팀 직원 )' ;</v>
      </c>
      <c r="V11" s="75"/>
      <c r="W11" s="75"/>
      <c r="X11" s="75"/>
      <c r="Y11" s="75"/>
      <c r="Z11" s="75"/>
      <c r="AA11" s="75"/>
      <c r="AB11" s="75"/>
      <c r="AC11" s="75"/>
    </row>
    <row r="12" spans="1:30" s="27" customFormat="1" ht="19.5" customHeight="1">
      <c r="A12" s="104">
        <v>6</v>
      </c>
      <c r="B12" s="59" t="s">
        <v>87</v>
      </c>
      <c r="C12" s="65" t="s">
        <v>68</v>
      </c>
      <c r="D12" s="67" t="s">
        <v>43</v>
      </c>
      <c r="E12" s="88" t="s">
        <v>62</v>
      </c>
      <c r="F12" s="93"/>
      <c r="G12" s="95"/>
      <c r="H12" s="95" t="s">
        <v>110</v>
      </c>
      <c r="I12" s="96"/>
      <c r="J12" s="121" t="s">
        <v>59</v>
      </c>
      <c r="K12" s="121"/>
      <c r="L12" s="97"/>
      <c r="M12" s="28"/>
      <c r="N12" s="71" t="str">
        <f t="shared" si="1"/>
        <v>Amount                         INT     NOT NULL  ,</v>
      </c>
      <c r="O12" s="74"/>
      <c r="P12" s="75"/>
      <c r="Q12" s="75"/>
      <c r="R12" s="75"/>
      <c r="S12" s="75"/>
      <c r="T12" s="75"/>
      <c r="U12" s="73" t="str">
        <f t="shared" si="0"/>
        <v>COMMENT ON COLUMN PRODUCTIONLIST.Amount IS '갯수  ( 관리자/ 직원 )' ;</v>
      </c>
      <c r="V12" s="75"/>
      <c r="W12" s="75"/>
      <c r="X12" s="75"/>
      <c r="Y12" s="75"/>
      <c r="Z12" s="75"/>
      <c r="AA12" s="75"/>
      <c r="AB12" s="75"/>
      <c r="AC12" s="75"/>
    </row>
    <row r="13" spans="1:30" s="27" customFormat="1" ht="14.25">
      <c r="A13" s="104">
        <v>7</v>
      </c>
      <c r="B13" s="59" t="s">
        <v>89</v>
      </c>
      <c r="C13" s="65" t="s">
        <v>69</v>
      </c>
      <c r="D13" s="67" t="s">
        <v>43</v>
      </c>
      <c r="E13" s="88" t="s">
        <v>70</v>
      </c>
      <c r="F13" s="94"/>
      <c r="G13" s="95"/>
      <c r="H13" s="95"/>
      <c r="I13" s="96"/>
      <c r="J13" s="121" t="s">
        <v>105</v>
      </c>
      <c r="K13" s="121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ProductionDate                 DATETIME     NOT NULL  ,</v>
      </c>
      <c r="O13" s="74"/>
      <c r="P13" s="75"/>
      <c r="Q13" s="75"/>
      <c r="R13" s="75"/>
      <c r="S13" s="75"/>
      <c r="T13" s="75"/>
      <c r="U13" s="73" t="str">
        <f t="shared" si="0"/>
        <v>COMMENT ON COLUMN PRODUCTIONLIST.ProductionDate IS '생산날짜  ( 5분마다 )' ;</v>
      </c>
      <c r="V13" s="75"/>
      <c r="W13" s="75"/>
      <c r="X13" s="75"/>
      <c r="Y13" s="75"/>
      <c r="Z13" s="75"/>
      <c r="AA13" s="75"/>
      <c r="AB13" s="75"/>
      <c r="AC13" s="75"/>
    </row>
    <row r="14" spans="1:30" s="27" customFormat="1" ht="14.25">
      <c r="A14" s="104">
        <v>8</v>
      </c>
      <c r="B14" s="59" t="s">
        <v>88</v>
      </c>
      <c r="C14" s="59" t="s">
        <v>71</v>
      </c>
      <c r="D14" s="67"/>
      <c r="E14" s="88" t="s">
        <v>74</v>
      </c>
      <c r="F14" s="94"/>
      <c r="G14" s="95"/>
      <c r="H14" s="95"/>
      <c r="I14" s="96"/>
      <c r="J14" s="121"/>
      <c r="K14" s="121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 xml:space="preserve">DefectRate                     DOUBLE      </v>
      </c>
      <c r="O14" s="74"/>
      <c r="P14" s="75"/>
      <c r="Q14" s="75"/>
      <c r="R14" s="75"/>
      <c r="S14" s="75"/>
      <c r="T14" s="75"/>
      <c r="U14" s="73" t="str">
        <f t="shared" si="0"/>
        <v>COMMENT ON COLUMN PRODUCTIONLIST.DefectRate IS '불량률' ;</v>
      </c>
      <c r="V14" s="75"/>
      <c r="W14" s="75"/>
      <c r="X14" s="75"/>
      <c r="Y14" s="75"/>
      <c r="Z14" s="75"/>
      <c r="AA14" s="75"/>
      <c r="AB14" s="75"/>
      <c r="AC14" s="75"/>
    </row>
    <row r="15" spans="1:30" s="27" customFormat="1" ht="14.25">
      <c r="A15" s="104">
        <v>9</v>
      </c>
      <c r="B15" s="66"/>
      <c r="C15" s="66"/>
      <c r="D15" s="70"/>
      <c r="E15" s="90"/>
      <c r="F15" s="93"/>
      <c r="G15" s="95"/>
      <c r="H15" s="95"/>
      <c r="I15" s="100"/>
      <c r="J15" s="121"/>
      <c r="K15" s="121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PRODUCTIONLIST. IS '' ;</v>
      </c>
      <c r="V15" s="75"/>
      <c r="W15" s="75"/>
      <c r="X15" s="75"/>
      <c r="Y15" s="75"/>
      <c r="Z15" s="75"/>
      <c r="AA15" s="75"/>
      <c r="AB15" s="75"/>
      <c r="AC15" s="75"/>
    </row>
    <row r="16" spans="1:30" s="27" customFormat="1" ht="14.25">
      <c r="A16" s="104">
        <v>10</v>
      </c>
      <c r="B16" s="101"/>
      <c r="C16" s="101"/>
      <c r="D16" s="69"/>
      <c r="E16" s="102"/>
      <c r="F16" s="103"/>
      <c r="G16" s="95"/>
      <c r="H16" s="95"/>
      <c r="I16" s="96"/>
      <c r="J16" s="121"/>
      <c r="K16" s="121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PRODUCTIONLIST. IS '' ;</v>
      </c>
      <c r="V16" s="75"/>
      <c r="W16" s="75"/>
      <c r="X16" s="75"/>
      <c r="Y16" s="75"/>
      <c r="Z16" s="75"/>
      <c r="AA16" s="75"/>
      <c r="AB16" s="75"/>
      <c r="AC16" s="75"/>
    </row>
    <row r="17" spans="1:29" s="3" customFormat="1" ht="14.25">
      <c r="A17" s="104">
        <v>11</v>
      </c>
      <c r="B17" s="101"/>
      <c r="C17" s="101"/>
      <c r="D17" s="67"/>
      <c r="E17" s="102"/>
      <c r="F17" s="103"/>
      <c r="G17" s="95"/>
      <c r="H17" s="95"/>
      <c r="I17" s="96"/>
      <c r="J17" s="121"/>
      <c r="K17" s="121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PRODUCTIONLIST. IS '' ;</v>
      </c>
      <c r="V17" s="72"/>
      <c r="W17" s="72"/>
      <c r="X17" s="72"/>
      <c r="Y17" s="72"/>
      <c r="Z17" s="72"/>
      <c r="AA17" s="72"/>
      <c r="AB17" s="72"/>
      <c r="AC17" s="72"/>
    </row>
    <row r="18" spans="1:29" s="3" customFormat="1" ht="14.25">
      <c r="A18" s="104">
        <v>12</v>
      </c>
      <c r="B18" s="101"/>
      <c r="C18" s="101"/>
      <c r="D18" s="68"/>
      <c r="E18" s="102"/>
      <c r="F18" s="103"/>
      <c r="G18" s="95"/>
      <c r="H18" s="95"/>
      <c r="I18" s="96"/>
      <c r="J18" s="121"/>
      <c r="K18" s="121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PRODUCTIONLIST. IS '' ;</v>
      </c>
      <c r="V18" s="72"/>
      <c r="W18" s="72"/>
      <c r="X18" s="72"/>
      <c r="Y18" s="72"/>
      <c r="Z18" s="72"/>
      <c r="AA18" s="72"/>
      <c r="AB18" s="72"/>
      <c r="AC18" s="72"/>
    </row>
    <row r="19" spans="1:29" s="3" customFormat="1" ht="14.25">
      <c r="A19" s="104">
        <v>13</v>
      </c>
      <c r="B19" s="101"/>
      <c r="C19" s="101"/>
      <c r="D19" s="87"/>
      <c r="E19" s="102"/>
      <c r="F19" s="103"/>
      <c r="G19" s="95"/>
      <c r="H19" s="95"/>
      <c r="I19" s="96"/>
      <c r="J19" s="121"/>
      <c r="K19" s="121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PRODUCTIONLIST. IS '' ;</v>
      </c>
      <c r="V19" s="72"/>
      <c r="W19" s="72"/>
      <c r="X19" s="72"/>
      <c r="Y19" s="72"/>
      <c r="Z19" s="72"/>
      <c r="AA19" s="72"/>
      <c r="AB19" s="72"/>
      <c r="AC19" s="72"/>
    </row>
    <row r="20" spans="1:29" s="3" customFormat="1" ht="14.25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21"/>
      <c r="K20" s="121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PRODUCTIONLIST. IS '' ;</v>
      </c>
      <c r="V20" s="72"/>
      <c r="W20" s="72"/>
      <c r="X20" s="72"/>
      <c r="Y20" s="72"/>
      <c r="Z20" s="72"/>
      <c r="AA20" s="72"/>
      <c r="AB20" s="72"/>
      <c r="AC20" s="72"/>
    </row>
    <row r="21" spans="1:29" s="3" customFormat="1" ht="14.25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21"/>
      <c r="K21" s="121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PRODUCTIONLIST. IS '' ;</v>
      </c>
      <c r="V21" s="72"/>
      <c r="W21" s="72"/>
      <c r="X21" s="72"/>
      <c r="Y21" s="72"/>
      <c r="Z21" s="72"/>
      <c r="AA21" s="72"/>
      <c r="AB21" s="72"/>
      <c r="AC21" s="72"/>
    </row>
    <row r="22" spans="1:29" s="3" customFormat="1" ht="14.25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21"/>
      <c r="K22" s="121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PRODUCTIONLIST. IS '' ;</v>
      </c>
      <c r="V22" s="72"/>
      <c r="W22" s="72"/>
      <c r="X22" s="72"/>
      <c r="Y22" s="72"/>
      <c r="Z22" s="72"/>
      <c r="AA22" s="72"/>
      <c r="AB22" s="72"/>
      <c r="AC22" s="72"/>
    </row>
    <row r="23" spans="1:29" s="3" customFormat="1" ht="13.5" customHeight="1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21"/>
      <c r="K23" s="121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PRODUCTIONLIST. IS '' ;</v>
      </c>
      <c r="V23" s="72"/>
      <c r="W23" s="72"/>
      <c r="X23" s="72"/>
      <c r="Y23" s="72"/>
      <c r="Z23" s="72"/>
      <c r="AA23" s="72"/>
      <c r="AB23" s="72"/>
      <c r="AC23" s="72"/>
    </row>
    <row r="24" spans="1:29" s="3" customFormat="1" ht="14.25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21"/>
      <c r="K24" s="121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PRODUCTIONLIST. IS '' ;</v>
      </c>
      <c r="V24" s="72"/>
      <c r="W24" s="72"/>
      <c r="X24" s="72"/>
      <c r="Y24" s="72"/>
      <c r="Z24" s="72"/>
      <c r="AA24" s="72"/>
      <c r="AB24" s="72"/>
      <c r="AC24" s="72"/>
    </row>
    <row r="25" spans="1:29" s="3" customFormat="1" ht="13.5" customHeight="1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21"/>
      <c r="K25" s="121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PRODUCTIONLIST. IS '' ;</v>
      </c>
      <c r="V25" s="72"/>
      <c r="W25" s="72"/>
      <c r="X25" s="72"/>
      <c r="Y25" s="72"/>
      <c r="Z25" s="72"/>
      <c r="AA25" s="72"/>
      <c r="AB25" s="72"/>
      <c r="AC25" s="72"/>
    </row>
    <row r="26" spans="1:29" s="3" customFormat="1" ht="14.25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21"/>
      <c r="K26" s="121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PRODUCTIONLIST. IS '' ;</v>
      </c>
      <c r="V26" s="72"/>
      <c r="W26" s="72"/>
      <c r="X26" s="72"/>
      <c r="Y26" s="72"/>
      <c r="Z26" s="72"/>
      <c r="AA26" s="72"/>
      <c r="AB26" s="72"/>
      <c r="AC26" s="72"/>
    </row>
    <row r="27" spans="1:29" s="3" customFormat="1" ht="14.25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21"/>
      <c r="K27" s="121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PRODUCTIONLIST. IS '' ;</v>
      </c>
      <c r="V27" s="72"/>
      <c r="W27" s="72"/>
      <c r="X27" s="72"/>
      <c r="Y27" s="72"/>
      <c r="Z27" s="72"/>
      <c r="AA27" s="72"/>
      <c r="AB27" s="72"/>
      <c r="AC27" s="72"/>
    </row>
    <row r="28" spans="1:29" s="3" customFormat="1" ht="14.25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21"/>
      <c r="K28" s="121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PRODUCTIONLIST. IS '' ;</v>
      </c>
      <c r="V28" s="72"/>
      <c r="W28" s="72"/>
      <c r="X28" s="72"/>
      <c r="Y28" s="72"/>
      <c r="Z28" s="72"/>
      <c r="AA28" s="72"/>
      <c r="AB28" s="72"/>
      <c r="AC28" s="72"/>
    </row>
    <row r="29" spans="1:29" s="3" customFormat="1" ht="14.25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21"/>
      <c r="K29" s="121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PRODUCTIONLIST. IS '' ;</v>
      </c>
      <c r="V29" s="72"/>
      <c r="W29" s="72"/>
      <c r="X29" s="72"/>
      <c r="Y29" s="72"/>
      <c r="Z29" s="72"/>
      <c r="AA29" s="72"/>
      <c r="AB29" s="72"/>
      <c r="AC29" s="72"/>
    </row>
    <row r="30" spans="1:29" s="3" customFormat="1" ht="14.25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21"/>
      <c r="K30" s="121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PRODUCTIONLIST. IS '' ;</v>
      </c>
      <c r="V30" s="72"/>
      <c r="W30" s="72"/>
      <c r="X30" s="72"/>
      <c r="Y30" s="72"/>
      <c r="Z30" s="72"/>
      <c r="AA30" s="72"/>
      <c r="AB30" s="72"/>
      <c r="AC30" s="72"/>
    </row>
    <row r="31" spans="1:29" s="3" customFormat="1" ht="14.25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21"/>
      <c r="K31" s="121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PRODUCTIONLIST. IS '' ;</v>
      </c>
      <c r="V31" s="72"/>
      <c r="W31" s="72"/>
      <c r="X31" s="72"/>
      <c r="Y31" s="72"/>
      <c r="Z31" s="72"/>
      <c r="AA31" s="72"/>
      <c r="AB31" s="72"/>
      <c r="AC31" s="72"/>
    </row>
    <row r="32" spans="1:29" s="3" customFormat="1" ht="14.25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21"/>
      <c r="K32" s="121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PRODUCTIONLIST. IS '' ;</v>
      </c>
      <c r="V32" s="72"/>
      <c r="W32" s="72"/>
      <c r="X32" s="72"/>
      <c r="Y32" s="72"/>
      <c r="Z32" s="72"/>
      <c r="AA32" s="72"/>
      <c r="AB32" s="72"/>
      <c r="AC32" s="72"/>
    </row>
    <row r="33" spans="1:29" s="3" customFormat="1" ht="14.25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21"/>
      <c r="K33" s="121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PRODUCTIONLIST. IS '' ;</v>
      </c>
      <c r="V33" s="72"/>
      <c r="W33" s="72"/>
      <c r="X33" s="72"/>
      <c r="Y33" s="72"/>
      <c r="Z33" s="72"/>
      <c r="AA33" s="72"/>
      <c r="AB33" s="72"/>
      <c r="AC33" s="72"/>
    </row>
    <row r="34" spans="1:29" s="3" customFormat="1" ht="14.25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21"/>
      <c r="K34" s="121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PRODUCTIONLIST. IS '' ;</v>
      </c>
      <c r="V34" s="72"/>
      <c r="W34" s="72"/>
      <c r="X34" s="72"/>
      <c r="Y34" s="72"/>
      <c r="Z34" s="72"/>
      <c r="AA34" s="72"/>
      <c r="AB34" s="72"/>
      <c r="AC34" s="72"/>
    </row>
    <row r="35" spans="1:29" s="3" customFormat="1" ht="14.25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21"/>
      <c r="K35" s="121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PRODUCTIONLIST. IS '' ;</v>
      </c>
      <c r="V35" s="72"/>
      <c r="W35" s="72"/>
      <c r="X35" s="72"/>
      <c r="Y35" s="72"/>
      <c r="Z35" s="72"/>
      <c r="AA35" s="72"/>
      <c r="AB35" s="72"/>
      <c r="AC35" s="72"/>
    </row>
    <row r="36" spans="1:29" s="3" customFormat="1" ht="14.25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21"/>
      <c r="K36" s="121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</row>
    <row r="37" spans="1:29" s="3" customFormat="1" ht="14.25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21"/>
      <c r="K37" s="121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</row>
    <row r="38" spans="1:29" s="3" customFormat="1" ht="13.5">
      <c r="A38" s="40"/>
      <c r="B38" s="41"/>
      <c r="C38" s="41"/>
      <c r="D38" s="43"/>
      <c r="E38" s="43"/>
      <c r="F38" s="43"/>
      <c r="G38" s="50"/>
      <c r="H38" s="43"/>
      <c r="I38" s="44"/>
      <c r="J38" s="146"/>
      <c r="K38" s="146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</row>
    <row r="39" spans="1:29" s="3" customFormat="1" ht="13.5">
      <c r="A39" s="42"/>
      <c r="B39" s="41"/>
      <c r="C39" s="41"/>
      <c r="D39" s="43"/>
      <c r="E39" s="43"/>
      <c r="F39" s="43"/>
      <c r="G39" s="43"/>
      <c r="H39" s="43"/>
      <c r="I39" s="44"/>
      <c r="J39" s="56"/>
      <c r="K39" s="56"/>
      <c r="L39" s="28"/>
      <c r="M39" s="8"/>
      <c r="N39" s="71" t="s">
        <v>36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</row>
    <row r="40" spans="1:29" s="3" customFormat="1" ht="13.5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9" s="3" customFormat="1" ht="13.5">
      <c r="A41" s="40"/>
      <c r="B41" s="26"/>
      <c r="C41" s="26"/>
      <c r="D41" s="25"/>
      <c r="E41" s="25"/>
      <c r="F41" s="25"/>
      <c r="G41" s="25"/>
      <c r="H41" s="25"/>
      <c r="I41" s="26"/>
      <c r="J41" s="56"/>
      <c r="K41" s="56"/>
      <c r="L41" s="8"/>
      <c r="M41" s="8"/>
      <c r="N41" s="22"/>
      <c r="O41" s="8"/>
    </row>
    <row r="42" spans="1:29" s="2" customFormat="1" ht="13.5">
      <c r="A42" s="76" t="s">
        <v>11</v>
      </c>
      <c r="B42" s="76" t="s">
        <v>30</v>
      </c>
      <c r="C42" s="153" t="s">
        <v>15</v>
      </c>
      <c r="D42" s="153"/>
      <c r="E42" s="153"/>
      <c r="F42" s="153"/>
      <c r="G42" s="153"/>
      <c r="H42" s="76" t="s">
        <v>27</v>
      </c>
      <c r="I42" s="76" t="s">
        <v>17</v>
      </c>
      <c r="J42" s="154" t="s">
        <v>28</v>
      </c>
      <c r="K42" s="155"/>
      <c r="L42" s="156"/>
      <c r="M42" s="78"/>
      <c r="N42" s="79"/>
      <c r="O42" s="79"/>
      <c r="P42" s="80"/>
      <c r="Q42" s="80"/>
      <c r="R42" s="80"/>
      <c r="S42" s="80"/>
      <c r="T42" s="80"/>
      <c r="U42" s="80"/>
    </row>
    <row r="43" spans="1:29" s="2" customFormat="1" ht="13.5">
      <c r="A43" s="81">
        <v>1</v>
      </c>
      <c r="B43" s="64"/>
      <c r="C43" s="149"/>
      <c r="D43" s="149"/>
      <c r="E43" s="149"/>
      <c r="F43" s="149"/>
      <c r="G43" s="149"/>
      <c r="H43" s="81"/>
      <c r="I43" s="82"/>
      <c r="J43" s="150"/>
      <c r="K43" s="151"/>
      <c r="L43" s="152"/>
      <c r="M43" s="83"/>
      <c r="N43" s="79" t="str">
        <f>CONCATENATE("CREATE ", IF(H43&lt;&gt;"", "UNIQUE ", ""),"INDEX ", B43, " ON ", $F$4, "( ",C43, " ) " )</f>
        <v xml:space="preserve">CREATE INDEX  ON PRODUCTIONLIST(  ) </v>
      </c>
      <c r="O43" s="79"/>
      <c r="P43" s="80"/>
      <c r="Q43" s="80"/>
      <c r="R43" s="80"/>
      <c r="S43" s="80"/>
      <c r="T43" s="80"/>
      <c r="U43" s="80"/>
    </row>
    <row r="44" spans="1:29" s="2" customFormat="1" ht="13.5">
      <c r="A44" s="81">
        <v>2</v>
      </c>
      <c r="B44" s="64"/>
      <c r="C44" s="149"/>
      <c r="D44" s="149"/>
      <c r="E44" s="149"/>
      <c r="F44" s="149"/>
      <c r="G44" s="149"/>
      <c r="H44" s="81"/>
      <c r="I44" s="82"/>
      <c r="J44" s="150"/>
      <c r="K44" s="151"/>
      <c r="L44" s="152"/>
      <c r="M44" s="83"/>
      <c r="N44" s="79" t="str">
        <f t="shared" ref="N44:N46" si="2">CONCATENATE("CREATE ", IF(H44&lt;&gt;"", "UNIQUE ", ""),"INDEX ", B44, " ON ", $F$4, "( ",C44, " ) " )</f>
        <v xml:space="preserve">CREATE INDEX  ON PRODUCTIONLIST(  ) </v>
      </c>
      <c r="O44" s="79"/>
      <c r="P44" s="80"/>
      <c r="Q44" s="80"/>
      <c r="R44" s="80"/>
      <c r="S44" s="80"/>
      <c r="T44" s="80"/>
      <c r="U44" s="80"/>
    </row>
    <row r="45" spans="1:29" s="2" customFormat="1" ht="13.5">
      <c r="A45" s="81">
        <v>3</v>
      </c>
      <c r="B45" s="64"/>
      <c r="C45" s="149"/>
      <c r="D45" s="149"/>
      <c r="E45" s="149"/>
      <c r="F45" s="149"/>
      <c r="G45" s="149"/>
      <c r="H45" s="81"/>
      <c r="I45" s="82"/>
      <c r="J45" s="84"/>
      <c r="K45" s="85"/>
      <c r="L45" s="86"/>
      <c r="M45" s="83"/>
      <c r="N45" s="79" t="str">
        <f t="shared" si="2"/>
        <v xml:space="preserve">CREATE INDEX  ON PRODUCTIONLIST(  ) </v>
      </c>
      <c r="O45" s="79"/>
      <c r="P45" s="80"/>
      <c r="Q45" s="80"/>
      <c r="R45" s="80"/>
      <c r="S45" s="80"/>
      <c r="T45" s="80"/>
      <c r="U45" s="80"/>
    </row>
    <row r="46" spans="1:29" s="2" customFormat="1" ht="13.5">
      <c r="A46" s="81">
        <v>4</v>
      </c>
      <c r="B46" s="64"/>
      <c r="C46" s="149"/>
      <c r="D46" s="149"/>
      <c r="E46" s="149"/>
      <c r="F46" s="149"/>
      <c r="G46" s="149"/>
      <c r="H46" s="81"/>
      <c r="I46" s="82"/>
      <c r="J46" s="150"/>
      <c r="K46" s="151"/>
      <c r="L46" s="152"/>
      <c r="M46" s="83"/>
      <c r="N46" s="79" t="str">
        <f t="shared" si="2"/>
        <v xml:space="preserve">CREATE INDEX  ON PRODUCTIONLIST(  ) </v>
      </c>
      <c r="O46" s="79"/>
      <c r="P46" s="80"/>
      <c r="Q46" s="80"/>
      <c r="R46" s="80"/>
      <c r="S46" s="80"/>
      <c r="T46" s="80"/>
      <c r="U46" s="80"/>
    </row>
    <row r="47" spans="1:29" s="2" customFormat="1" ht="13.5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</row>
    <row r="48" spans="1:29" s="2" customFormat="1" ht="13.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</row>
    <row r="49" spans="1:23" s="2" customFormat="1" ht="13.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</row>
    <row r="50" spans="1:23" s="2" customFormat="1" ht="13.5">
      <c r="A50" s="157" t="s">
        <v>116</v>
      </c>
      <c r="B50" s="157"/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7" t="s">
        <v>119</v>
      </c>
      <c r="N50" s="157"/>
      <c r="O50" s="157"/>
      <c r="P50" s="157"/>
      <c r="Q50" s="157"/>
      <c r="R50" s="157"/>
      <c r="S50" s="157"/>
      <c r="T50" s="157"/>
      <c r="U50" s="157"/>
      <c r="V50" s="157"/>
      <c r="W50" s="157"/>
    </row>
    <row r="51" spans="1:23" s="2" customFormat="1">
      <c r="A51" s="158"/>
      <c r="B51" s="162" t="s">
        <v>118</v>
      </c>
      <c r="C51" s="163"/>
      <c r="D51" s="163"/>
      <c r="E51" s="163"/>
      <c r="F51" s="164"/>
      <c r="G51" s="162" t="s">
        <v>120</v>
      </c>
      <c r="H51" s="163"/>
      <c r="I51" s="163"/>
      <c r="J51" s="163"/>
      <c r="K51" s="163"/>
      <c r="L51" s="164"/>
      <c r="M51" s="162" t="s">
        <v>118</v>
      </c>
      <c r="N51" s="163"/>
      <c r="O51" s="163"/>
      <c r="P51" s="163"/>
      <c r="Q51" s="164"/>
      <c r="R51" s="162" t="s">
        <v>117</v>
      </c>
      <c r="S51" s="163"/>
      <c r="T51" s="163"/>
      <c r="U51" s="163"/>
      <c r="V51" s="163"/>
      <c r="W51" s="164"/>
    </row>
    <row r="52" spans="1:23" s="2" customFormat="1" ht="13.5">
      <c r="A52" s="29">
        <v>1</v>
      </c>
      <c r="B52" s="159" t="str">
        <f>IF(AND(COUNTA($G$7:$G$37) = 1, LOWER($G7)="y"),"ALTER TABLE " &amp; $F$4 &amp; " ADD CONSTRAINT " &amp; LOWER("pk_" &amp; $F$4 &amp;"_" &amp; $B7)&amp; " PRIMARY KEY( " &amp; $B7 &amp; ");","")</f>
        <v>ALTER TABLE PRODUCTIONLIST ADD CONSTRAINT pk_productionlist_productioncode PRIMARY KEY( ProductionCode);</v>
      </c>
      <c r="C52" s="160"/>
      <c r="D52" s="160"/>
      <c r="E52" s="160"/>
      <c r="F52" s="161"/>
      <c r="G52" s="159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60"/>
      <c r="I52" s="160"/>
      <c r="J52" s="160"/>
      <c r="K52" s="160"/>
      <c r="L52" s="161"/>
      <c r="M52" s="159" t="str">
        <f>IF(B52 &lt;&gt; "", IF(AND(COUNTA($G$7:$G$37) = 1, LOWER($G7)="y"),"ALTER TABLE " &amp; $F$4 &amp; " DROP PRIMARY KEY;",""), "")</f>
        <v>ALTER TABLE PRODUCTIONLIST DROP PRIMARY KEY;</v>
      </c>
      <c r="N52" s="160"/>
      <c r="O52" s="160"/>
      <c r="P52" s="160"/>
      <c r="Q52" s="161"/>
      <c r="R52" s="159" t="str">
        <f>IF($H7&lt;&gt;"","ALTER TABLE " &amp; $F$4 &amp; " DROP FOREIGN KEY  `fk_" &amp; LOWER($H7 &amp; "_" &amp; $F$4 &amp; "_" &amp; $B7) &amp; "`;","")</f>
        <v/>
      </c>
      <c r="S52" s="160"/>
      <c r="T52" s="160"/>
      <c r="U52" s="160"/>
      <c r="V52" s="160"/>
      <c r="W52" s="161"/>
    </row>
    <row r="53" spans="1:23" s="2" customFormat="1" ht="13.5">
      <c r="A53" s="29">
        <v>2</v>
      </c>
      <c r="B53" s="159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60"/>
      <c r="D53" s="160"/>
      <c r="E53" s="160"/>
      <c r="F53" s="161"/>
      <c r="G53" s="159" t="str">
        <f>IF($H8&lt;&gt;"","ALTER TABLE " &amp; $F$4 &amp; " ADD CONSTRAINT fk_" &amp; LOWER($H8 &amp; "_" &amp; $F$4 &amp; "_" &amp; $B8) &amp; "  FOREIGN KEY(" &amp; $B8 &amp; " ) REFERENCES " &amp; $H8&amp; "(" &amp; $B8 &amp; ");","")</f>
        <v>ALTER TABLE PRODUCTIONLIST ADD CONSTRAINT fk_machine_productionlist_machineid  FOREIGN KEY(MachineID ) REFERENCES machine(MachineID);</v>
      </c>
      <c r="H53" s="160"/>
      <c r="I53" s="160"/>
      <c r="J53" s="160"/>
      <c r="K53" s="160"/>
      <c r="L53" s="161"/>
      <c r="M53" s="159" t="str">
        <f t="shared" ref="M53:M82" si="4">IF(B53 &lt;&gt; "", IF(AND(COUNTA($G$7:$G$37) = 1, LOWER($G8)="y"),"ALTER TABLE " &amp; $F$4 &amp; " DROP PRIMARY KEY;",""), "")</f>
        <v/>
      </c>
      <c r="N53" s="160"/>
      <c r="O53" s="160"/>
      <c r="P53" s="160"/>
      <c r="Q53" s="161"/>
      <c r="R53" s="159" t="str">
        <f>IF($H8&lt;&gt;"","ALTER TABLE " &amp; $F$4 &amp; " DROP FOREIGN KEY  `fk_" &amp; LOWER($H8 &amp; "_" &amp; $F$4 &amp; "_" &amp; $B8) &amp; "`;","")</f>
        <v>ALTER TABLE PRODUCTIONLIST DROP FOREIGN KEY  `fk_machine_productionlist_machineid`;</v>
      </c>
      <c r="S53" s="160"/>
      <c r="T53" s="160"/>
      <c r="U53" s="160"/>
      <c r="V53" s="160"/>
      <c r="W53" s="161"/>
    </row>
    <row r="54" spans="1:23" s="2" customFormat="1" ht="13.5">
      <c r="A54" s="29">
        <v>3</v>
      </c>
      <c r="B54" s="159" t="str">
        <f t="shared" si="3"/>
        <v/>
      </c>
      <c r="C54" s="160"/>
      <c r="D54" s="160"/>
      <c r="E54" s="160"/>
      <c r="F54" s="161"/>
      <c r="G54" s="159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>ALTER TABLE PRODUCTIONLIST ADD CONSTRAINT fk_production_productionlist_productionid  FOREIGN KEY(ProductionID ) REFERENCES production(ProductionID);</v>
      </c>
      <c r="H54" s="160"/>
      <c r="I54" s="160"/>
      <c r="J54" s="160"/>
      <c r="K54" s="160"/>
      <c r="L54" s="161"/>
      <c r="M54" s="159" t="str">
        <f t="shared" si="4"/>
        <v/>
      </c>
      <c r="N54" s="160"/>
      <c r="O54" s="160"/>
      <c r="P54" s="160"/>
      <c r="Q54" s="161"/>
      <c r="R54" s="159" t="str">
        <f t="shared" ref="R54:R82" si="6">IF($H9&lt;&gt;"","ALTER TABLE " &amp; $F$4 &amp; " DROP FOREIGN KEY  `fk_" &amp; LOWER($H9 &amp; "_" &amp; $F$4 &amp; "_" &amp; $B9) &amp; "`;","")</f>
        <v>ALTER TABLE PRODUCTIONLIST DROP FOREIGN KEY  `fk_production_productionlist_productionid`;</v>
      </c>
      <c r="S54" s="160"/>
      <c r="T54" s="160"/>
      <c r="U54" s="160"/>
      <c r="V54" s="160"/>
      <c r="W54" s="161"/>
    </row>
    <row r="55" spans="1:23" s="2" customFormat="1" ht="13.5">
      <c r="A55" s="29">
        <v>4</v>
      </c>
      <c r="B55" s="159" t="str">
        <f t="shared" si="3"/>
        <v/>
      </c>
      <c r="C55" s="160"/>
      <c r="D55" s="160"/>
      <c r="E55" s="160"/>
      <c r="F55" s="161"/>
      <c r="G55" s="159" t="str">
        <f t="shared" si="5"/>
        <v>ALTER TABLE PRODUCTIONLIST ADD CONSTRAINT fk_todo_productionlist_todocode  FOREIGN KEY(TodoCode ) REFERENCES todo(TodoCode);</v>
      </c>
      <c r="H55" s="160"/>
      <c r="I55" s="160"/>
      <c r="J55" s="160"/>
      <c r="K55" s="160"/>
      <c r="L55" s="161"/>
      <c r="M55" s="159" t="str">
        <f t="shared" si="4"/>
        <v/>
      </c>
      <c r="N55" s="160"/>
      <c r="O55" s="160"/>
      <c r="P55" s="160"/>
      <c r="Q55" s="161"/>
      <c r="R55" s="159" t="str">
        <f t="shared" si="6"/>
        <v>ALTER TABLE PRODUCTIONLIST DROP FOREIGN KEY  `fk_todo_productionlist_todocode`;</v>
      </c>
      <c r="S55" s="160"/>
      <c r="T55" s="160"/>
      <c r="U55" s="160"/>
      <c r="V55" s="160"/>
      <c r="W55" s="161"/>
    </row>
    <row r="56" spans="1:23" s="2" customFormat="1" ht="13.5">
      <c r="A56" s="29">
        <v>5</v>
      </c>
      <c r="B56" s="159" t="str">
        <f t="shared" si="3"/>
        <v/>
      </c>
      <c r="C56" s="160"/>
      <c r="D56" s="160"/>
      <c r="E56" s="160"/>
      <c r="F56" s="161"/>
      <c r="G56" s="159" t="str">
        <f t="shared" si="5"/>
        <v>ALTER TABLE PRODUCTIONLIST ADD CONSTRAINT fk_employees_productionlist_employeecode  FOREIGN KEY(EmployeeCode ) REFERENCES employees(EmployeeCode);</v>
      </c>
      <c r="H56" s="160"/>
      <c r="I56" s="160"/>
      <c r="J56" s="160"/>
      <c r="K56" s="160"/>
      <c r="L56" s="161"/>
      <c r="M56" s="159" t="str">
        <f t="shared" si="4"/>
        <v/>
      </c>
      <c r="N56" s="160"/>
      <c r="O56" s="160"/>
      <c r="P56" s="160"/>
      <c r="Q56" s="161"/>
      <c r="R56" s="159" t="str">
        <f t="shared" si="6"/>
        <v>ALTER TABLE PRODUCTIONLIST DROP FOREIGN KEY  `fk_employees_productionlist_employeecode`;</v>
      </c>
      <c r="S56" s="160"/>
      <c r="T56" s="160"/>
      <c r="U56" s="160"/>
      <c r="V56" s="160"/>
      <c r="W56" s="161"/>
    </row>
    <row r="57" spans="1:23" s="2" customFormat="1" ht="13.5">
      <c r="A57" s="29">
        <v>6</v>
      </c>
      <c r="B57" s="159" t="str">
        <f t="shared" si="3"/>
        <v/>
      </c>
      <c r="C57" s="160"/>
      <c r="D57" s="160"/>
      <c r="E57" s="160"/>
      <c r="F57" s="161"/>
      <c r="G57" s="159" t="str">
        <f t="shared" si="5"/>
        <v>ALTER TABLE PRODUCTIONLIST ADD CONSTRAINT fk_todo_productionlist_amount  FOREIGN KEY(Amount ) REFERENCES Todo(Amount);</v>
      </c>
      <c r="H57" s="160"/>
      <c r="I57" s="160"/>
      <c r="J57" s="160"/>
      <c r="K57" s="160"/>
      <c r="L57" s="161"/>
      <c r="M57" s="159" t="str">
        <f t="shared" si="4"/>
        <v/>
      </c>
      <c r="N57" s="160"/>
      <c r="O57" s="160"/>
      <c r="P57" s="160"/>
      <c r="Q57" s="161"/>
      <c r="R57" s="159" t="str">
        <f t="shared" si="6"/>
        <v>ALTER TABLE PRODUCTIONLIST DROP FOREIGN KEY  `fk_todo_productionlist_amount`;</v>
      </c>
      <c r="S57" s="160"/>
      <c r="T57" s="160"/>
      <c r="U57" s="160"/>
      <c r="V57" s="160"/>
      <c r="W57" s="161"/>
    </row>
    <row r="58" spans="1:23">
      <c r="A58" s="29">
        <v>7</v>
      </c>
      <c r="B58" s="159" t="str">
        <f t="shared" si="3"/>
        <v/>
      </c>
      <c r="C58" s="160"/>
      <c r="D58" s="160"/>
      <c r="E58" s="160"/>
      <c r="F58" s="161"/>
      <c r="G58" s="159" t="str">
        <f t="shared" si="5"/>
        <v/>
      </c>
      <c r="H58" s="160"/>
      <c r="I58" s="160"/>
      <c r="J58" s="160"/>
      <c r="K58" s="160"/>
      <c r="L58" s="161"/>
      <c r="M58" s="159" t="str">
        <f t="shared" si="4"/>
        <v/>
      </c>
      <c r="N58" s="160"/>
      <c r="O58" s="160"/>
      <c r="P58" s="160"/>
      <c r="Q58" s="161"/>
      <c r="R58" s="159" t="str">
        <f t="shared" si="6"/>
        <v/>
      </c>
      <c r="S58" s="160"/>
      <c r="T58" s="160"/>
      <c r="U58" s="160"/>
      <c r="V58" s="160"/>
      <c r="W58" s="161"/>
    </row>
    <row r="59" spans="1:23">
      <c r="A59" s="29">
        <v>8</v>
      </c>
      <c r="B59" s="159" t="str">
        <f t="shared" si="3"/>
        <v/>
      </c>
      <c r="C59" s="160"/>
      <c r="D59" s="160"/>
      <c r="E59" s="160"/>
      <c r="F59" s="161"/>
      <c r="G59" s="159" t="str">
        <f t="shared" si="5"/>
        <v/>
      </c>
      <c r="H59" s="160"/>
      <c r="I59" s="160"/>
      <c r="J59" s="160"/>
      <c r="K59" s="160"/>
      <c r="L59" s="161"/>
      <c r="M59" s="159" t="str">
        <f t="shared" si="4"/>
        <v/>
      </c>
      <c r="N59" s="160"/>
      <c r="O59" s="160"/>
      <c r="P59" s="160"/>
      <c r="Q59" s="161"/>
      <c r="R59" s="159" t="str">
        <f t="shared" si="6"/>
        <v/>
      </c>
      <c r="S59" s="160"/>
      <c r="T59" s="160"/>
      <c r="U59" s="160"/>
      <c r="V59" s="160"/>
      <c r="W59" s="161"/>
    </row>
    <row r="60" spans="1:23">
      <c r="A60" s="29">
        <v>9</v>
      </c>
      <c r="B60" s="159" t="str">
        <f t="shared" si="3"/>
        <v/>
      </c>
      <c r="C60" s="160"/>
      <c r="D60" s="160"/>
      <c r="E60" s="160"/>
      <c r="F60" s="161"/>
      <c r="G60" s="159" t="str">
        <f t="shared" si="5"/>
        <v/>
      </c>
      <c r="H60" s="160"/>
      <c r="I60" s="160"/>
      <c r="J60" s="160"/>
      <c r="K60" s="160"/>
      <c r="L60" s="161"/>
      <c r="M60" s="159" t="str">
        <f t="shared" si="4"/>
        <v/>
      </c>
      <c r="N60" s="160"/>
      <c r="O60" s="160"/>
      <c r="P60" s="160"/>
      <c r="Q60" s="161"/>
      <c r="R60" s="159" t="str">
        <f t="shared" si="6"/>
        <v/>
      </c>
      <c r="S60" s="160"/>
      <c r="T60" s="160"/>
      <c r="U60" s="160"/>
      <c r="V60" s="160"/>
      <c r="W60" s="161"/>
    </row>
    <row r="61" spans="1:23">
      <c r="A61" s="29">
        <v>10</v>
      </c>
      <c r="B61" s="159" t="str">
        <f t="shared" si="3"/>
        <v/>
      </c>
      <c r="C61" s="160"/>
      <c r="D61" s="160"/>
      <c r="E61" s="160"/>
      <c r="F61" s="161"/>
      <c r="G61" s="159" t="str">
        <f t="shared" si="5"/>
        <v/>
      </c>
      <c r="H61" s="160"/>
      <c r="I61" s="160"/>
      <c r="J61" s="160"/>
      <c r="K61" s="160"/>
      <c r="L61" s="161"/>
      <c r="M61" s="159" t="str">
        <f t="shared" si="4"/>
        <v/>
      </c>
      <c r="N61" s="160"/>
      <c r="O61" s="160"/>
      <c r="P61" s="160"/>
      <c r="Q61" s="161"/>
      <c r="R61" s="159" t="str">
        <f t="shared" si="6"/>
        <v/>
      </c>
      <c r="S61" s="160"/>
      <c r="T61" s="160"/>
      <c r="U61" s="160"/>
      <c r="V61" s="160"/>
      <c r="W61" s="161"/>
    </row>
    <row r="62" spans="1:23">
      <c r="A62" s="29">
        <v>11</v>
      </c>
      <c r="B62" s="159" t="str">
        <f t="shared" si="3"/>
        <v/>
      </c>
      <c r="C62" s="160"/>
      <c r="D62" s="160"/>
      <c r="E62" s="160"/>
      <c r="F62" s="161"/>
      <c r="G62" s="159" t="str">
        <f t="shared" si="5"/>
        <v/>
      </c>
      <c r="H62" s="160"/>
      <c r="I62" s="160"/>
      <c r="J62" s="160"/>
      <c r="K62" s="160"/>
      <c r="L62" s="161"/>
      <c r="M62" s="159" t="str">
        <f t="shared" si="4"/>
        <v/>
      </c>
      <c r="N62" s="160"/>
      <c r="O62" s="160"/>
      <c r="P62" s="160"/>
      <c r="Q62" s="161"/>
      <c r="R62" s="159" t="str">
        <f t="shared" si="6"/>
        <v/>
      </c>
      <c r="S62" s="160"/>
      <c r="T62" s="160"/>
      <c r="U62" s="160"/>
      <c r="V62" s="160"/>
      <c r="W62" s="161"/>
    </row>
    <row r="63" spans="1:23">
      <c r="A63" s="29">
        <v>12</v>
      </c>
      <c r="B63" s="159" t="str">
        <f t="shared" si="3"/>
        <v/>
      </c>
      <c r="C63" s="160"/>
      <c r="D63" s="160"/>
      <c r="E63" s="160"/>
      <c r="F63" s="161"/>
      <c r="G63" s="159" t="str">
        <f t="shared" si="5"/>
        <v/>
      </c>
      <c r="H63" s="160"/>
      <c r="I63" s="160"/>
      <c r="J63" s="160"/>
      <c r="K63" s="160"/>
      <c r="L63" s="161"/>
      <c r="M63" s="159" t="str">
        <f t="shared" si="4"/>
        <v/>
      </c>
      <c r="N63" s="160"/>
      <c r="O63" s="160"/>
      <c r="P63" s="160"/>
      <c r="Q63" s="161"/>
      <c r="R63" s="159" t="str">
        <f t="shared" si="6"/>
        <v/>
      </c>
      <c r="S63" s="160"/>
      <c r="T63" s="160"/>
      <c r="U63" s="160"/>
      <c r="V63" s="160"/>
      <c r="W63" s="161"/>
    </row>
    <row r="64" spans="1:23">
      <c r="A64" s="29">
        <v>13</v>
      </c>
      <c r="B64" s="159" t="str">
        <f t="shared" si="3"/>
        <v/>
      </c>
      <c r="C64" s="160"/>
      <c r="D64" s="160"/>
      <c r="E64" s="160"/>
      <c r="F64" s="161"/>
      <c r="G64" s="159" t="str">
        <f t="shared" si="5"/>
        <v/>
      </c>
      <c r="H64" s="160"/>
      <c r="I64" s="160"/>
      <c r="J64" s="160"/>
      <c r="K64" s="160"/>
      <c r="L64" s="161"/>
      <c r="M64" s="159" t="str">
        <f t="shared" si="4"/>
        <v/>
      </c>
      <c r="N64" s="160"/>
      <c r="O64" s="160"/>
      <c r="P64" s="160"/>
      <c r="Q64" s="161"/>
      <c r="R64" s="159" t="str">
        <f t="shared" si="6"/>
        <v/>
      </c>
      <c r="S64" s="160"/>
      <c r="T64" s="160"/>
      <c r="U64" s="160"/>
      <c r="V64" s="160"/>
      <c r="W64" s="161"/>
    </row>
    <row r="65" spans="1:23">
      <c r="A65" s="29">
        <v>14</v>
      </c>
      <c r="B65" s="159" t="str">
        <f t="shared" si="3"/>
        <v/>
      </c>
      <c r="C65" s="160"/>
      <c r="D65" s="160"/>
      <c r="E65" s="160"/>
      <c r="F65" s="161"/>
      <c r="G65" s="159" t="str">
        <f t="shared" si="5"/>
        <v/>
      </c>
      <c r="H65" s="160"/>
      <c r="I65" s="160"/>
      <c r="J65" s="160"/>
      <c r="K65" s="160"/>
      <c r="L65" s="161"/>
      <c r="M65" s="159" t="str">
        <f t="shared" si="4"/>
        <v/>
      </c>
      <c r="N65" s="160"/>
      <c r="O65" s="160"/>
      <c r="P65" s="160"/>
      <c r="Q65" s="161"/>
      <c r="R65" s="159" t="str">
        <f t="shared" si="6"/>
        <v/>
      </c>
      <c r="S65" s="160"/>
      <c r="T65" s="160"/>
      <c r="U65" s="160"/>
      <c r="V65" s="160"/>
      <c r="W65" s="161"/>
    </row>
    <row r="66" spans="1:23">
      <c r="A66" s="29">
        <v>15</v>
      </c>
      <c r="B66" s="159" t="str">
        <f t="shared" si="3"/>
        <v/>
      </c>
      <c r="C66" s="160"/>
      <c r="D66" s="160"/>
      <c r="E66" s="160"/>
      <c r="F66" s="161"/>
      <c r="G66" s="159" t="str">
        <f t="shared" si="5"/>
        <v/>
      </c>
      <c r="H66" s="160"/>
      <c r="I66" s="160"/>
      <c r="J66" s="160"/>
      <c r="K66" s="160"/>
      <c r="L66" s="161"/>
      <c r="M66" s="159" t="str">
        <f t="shared" si="4"/>
        <v/>
      </c>
      <c r="N66" s="160"/>
      <c r="O66" s="160"/>
      <c r="P66" s="160"/>
      <c r="Q66" s="161"/>
      <c r="R66" s="159" t="str">
        <f t="shared" si="6"/>
        <v/>
      </c>
      <c r="S66" s="160"/>
      <c r="T66" s="160"/>
      <c r="U66" s="160"/>
      <c r="V66" s="160"/>
      <c r="W66" s="161"/>
    </row>
    <row r="67" spans="1:23">
      <c r="A67" s="29">
        <v>16</v>
      </c>
      <c r="B67" s="159" t="str">
        <f t="shared" si="3"/>
        <v/>
      </c>
      <c r="C67" s="160"/>
      <c r="D67" s="160"/>
      <c r="E67" s="160"/>
      <c r="F67" s="161"/>
      <c r="G67" s="159" t="str">
        <f t="shared" si="5"/>
        <v/>
      </c>
      <c r="H67" s="160"/>
      <c r="I67" s="160"/>
      <c r="J67" s="160"/>
      <c r="K67" s="160"/>
      <c r="L67" s="161"/>
      <c r="M67" s="159" t="str">
        <f t="shared" si="4"/>
        <v/>
      </c>
      <c r="N67" s="160"/>
      <c r="O67" s="160"/>
      <c r="P67" s="160"/>
      <c r="Q67" s="161"/>
      <c r="R67" s="159" t="str">
        <f t="shared" si="6"/>
        <v/>
      </c>
      <c r="S67" s="160"/>
      <c r="T67" s="160"/>
      <c r="U67" s="160"/>
      <c r="V67" s="160"/>
      <c r="W67" s="161"/>
    </row>
    <row r="68" spans="1:23">
      <c r="A68" s="29">
        <v>17</v>
      </c>
      <c r="B68" s="159" t="str">
        <f t="shared" si="3"/>
        <v/>
      </c>
      <c r="C68" s="160"/>
      <c r="D68" s="160"/>
      <c r="E68" s="160"/>
      <c r="F68" s="161"/>
      <c r="G68" s="159" t="str">
        <f t="shared" si="5"/>
        <v/>
      </c>
      <c r="H68" s="160"/>
      <c r="I68" s="160"/>
      <c r="J68" s="160"/>
      <c r="K68" s="160"/>
      <c r="L68" s="161"/>
      <c r="M68" s="159" t="str">
        <f t="shared" si="4"/>
        <v/>
      </c>
      <c r="N68" s="160"/>
      <c r="O68" s="160"/>
      <c r="P68" s="160"/>
      <c r="Q68" s="161"/>
      <c r="R68" s="159" t="str">
        <f t="shared" si="6"/>
        <v/>
      </c>
      <c r="S68" s="160"/>
      <c r="T68" s="160"/>
      <c r="U68" s="160"/>
      <c r="V68" s="160"/>
      <c r="W68" s="161"/>
    </row>
    <row r="69" spans="1:23">
      <c r="A69" s="29">
        <v>18</v>
      </c>
      <c r="B69" s="159" t="str">
        <f t="shared" si="3"/>
        <v/>
      </c>
      <c r="C69" s="160"/>
      <c r="D69" s="160"/>
      <c r="E69" s="160"/>
      <c r="F69" s="161"/>
      <c r="G69" s="159" t="str">
        <f t="shared" si="5"/>
        <v/>
      </c>
      <c r="H69" s="160"/>
      <c r="I69" s="160"/>
      <c r="J69" s="160"/>
      <c r="K69" s="160"/>
      <c r="L69" s="161"/>
      <c r="M69" s="159" t="str">
        <f t="shared" si="4"/>
        <v/>
      </c>
      <c r="N69" s="160"/>
      <c r="O69" s="160"/>
      <c r="P69" s="160"/>
      <c r="Q69" s="161"/>
      <c r="R69" s="159" t="str">
        <f t="shared" si="6"/>
        <v/>
      </c>
      <c r="S69" s="160"/>
      <c r="T69" s="160"/>
      <c r="U69" s="160"/>
      <c r="V69" s="160"/>
      <c r="W69" s="161"/>
    </row>
    <row r="70" spans="1:23">
      <c r="A70" s="29">
        <v>19</v>
      </c>
      <c r="B70" s="159" t="str">
        <f t="shared" si="3"/>
        <v/>
      </c>
      <c r="C70" s="160"/>
      <c r="D70" s="160"/>
      <c r="E70" s="160"/>
      <c r="F70" s="161"/>
      <c r="G70" s="159" t="str">
        <f t="shared" si="5"/>
        <v/>
      </c>
      <c r="H70" s="160"/>
      <c r="I70" s="160"/>
      <c r="J70" s="160"/>
      <c r="K70" s="160"/>
      <c r="L70" s="161"/>
      <c r="M70" s="159" t="str">
        <f t="shared" si="4"/>
        <v/>
      </c>
      <c r="N70" s="160"/>
      <c r="O70" s="160"/>
      <c r="P70" s="160"/>
      <c r="Q70" s="161"/>
      <c r="R70" s="159" t="str">
        <f t="shared" si="6"/>
        <v/>
      </c>
      <c r="S70" s="160"/>
      <c r="T70" s="160"/>
      <c r="U70" s="160"/>
      <c r="V70" s="160"/>
      <c r="W70" s="161"/>
    </row>
    <row r="71" spans="1:23">
      <c r="A71" s="29">
        <v>20</v>
      </c>
      <c r="B71" s="159" t="str">
        <f t="shared" si="3"/>
        <v/>
      </c>
      <c r="C71" s="160"/>
      <c r="D71" s="160"/>
      <c r="E71" s="160"/>
      <c r="F71" s="161"/>
      <c r="G71" s="159" t="str">
        <f t="shared" si="5"/>
        <v/>
      </c>
      <c r="H71" s="160"/>
      <c r="I71" s="160"/>
      <c r="J71" s="160"/>
      <c r="K71" s="160"/>
      <c r="L71" s="161"/>
      <c r="M71" s="159" t="str">
        <f t="shared" si="4"/>
        <v/>
      </c>
      <c r="N71" s="160"/>
      <c r="O71" s="160"/>
      <c r="P71" s="160"/>
      <c r="Q71" s="161"/>
      <c r="R71" s="159" t="str">
        <f t="shared" si="6"/>
        <v/>
      </c>
      <c r="S71" s="160"/>
      <c r="T71" s="160"/>
      <c r="U71" s="160"/>
      <c r="V71" s="160"/>
      <c r="W71" s="161"/>
    </row>
    <row r="72" spans="1:23">
      <c r="A72" s="29">
        <v>21</v>
      </c>
      <c r="B72" s="159" t="str">
        <f t="shared" si="3"/>
        <v/>
      </c>
      <c r="C72" s="160"/>
      <c r="D72" s="160"/>
      <c r="E72" s="160"/>
      <c r="F72" s="161"/>
      <c r="G72" s="159" t="str">
        <f t="shared" si="5"/>
        <v/>
      </c>
      <c r="H72" s="160"/>
      <c r="I72" s="160"/>
      <c r="J72" s="160"/>
      <c r="K72" s="160"/>
      <c r="L72" s="161"/>
      <c r="M72" s="159" t="str">
        <f t="shared" si="4"/>
        <v/>
      </c>
      <c r="N72" s="160"/>
      <c r="O72" s="160"/>
      <c r="P72" s="160"/>
      <c r="Q72" s="161"/>
      <c r="R72" s="159" t="str">
        <f t="shared" si="6"/>
        <v/>
      </c>
      <c r="S72" s="160"/>
      <c r="T72" s="160"/>
      <c r="U72" s="160"/>
      <c r="V72" s="160"/>
      <c r="W72" s="161"/>
    </row>
    <row r="73" spans="1:23">
      <c r="A73" s="29">
        <v>22</v>
      </c>
      <c r="B73" s="159" t="str">
        <f t="shared" si="3"/>
        <v/>
      </c>
      <c r="C73" s="160"/>
      <c r="D73" s="160"/>
      <c r="E73" s="160"/>
      <c r="F73" s="161"/>
      <c r="G73" s="159" t="str">
        <f t="shared" si="5"/>
        <v/>
      </c>
      <c r="H73" s="160"/>
      <c r="I73" s="160"/>
      <c r="J73" s="160"/>
      <c r="K73" s="160"/>
      <c r="L73" s="161"/>
      <c r="M73" s="159" t="str">
        <f t="shared" si="4"/>
        <v/>
      </c>
      <c r="N73" s="160"/>
      <c r="O73" s="160"/>
      <c r="P73" s="160"/>
      <c r="Q73" s="161"/>
      <c r="R73" s="159" t="str">
        <f t="shared" si="6"/>
        <v/>
      </c>
      <c r="S73" s="160"/>
      <c r="T73" s="160"/>
      <c r="U73" s="160"/>
      <c r="V73" s="160"/>
      <c r="W73" s="161"/>
    </row>
    <row r="74" spans="1:23">
      <c r="A74" s="29">
        <v>23</v>
      </c>
      <c r="B74" s="159" t="str">
        <f t="shared" si="3"/>
        <v/>
      </c>
      <c r="C74" s="160"/>
      <c r="D74" s="160"/>
      <c r="E74" s="160"/>
      <c r="F74" s="161"/>
      <c r="G74" s="159" t="str">
        <f t="shared" si="5"/>
        <v/>
      </c>
      <c r="H74" s="160"/>
      <c r="I74" s="160"/>
      <c r="J74" s="160"/>
      <c r="K74" s="160"/>
      <c r="L74" s="161"/>
      <c r="M74" s="159" t="str">
        <f t="shared" si="4"/>
        <v/>
      </c>
      <c r="N74" s="160"/>
      <c r="O74" s="160"/>
      <c r="P74" s="160"/>
      <c r="Q74" s="161"/>
      <c r="R74" s="159" t="str">
        <f t="shared" si="6"/>
        <v/>
      </c>
      <c r="S74" s="160"/>
      <c r="T74" s="160"/>
      <c r="U74" s="160"/>
      <c r="V74" s="160"/>
      <c r="W74" s="161"/>
    </row>
    <row r="75" spans="1:23">
      <c r="A75" s="29">
        <v>24</v>
      </c>
      <c r="B75" s="159" t="str">
        <f t="shared" si="3"/>
        <v/>
      </c>
      <c r="C75" s="160"/>
      <c r="D75" s="160"/>
      <c r="E75" s="160"/>
      <c r="F75" s="161"/>
      <c r="G75" s="159" t="str">
        <f t="shared" si="5"/>
        <v/>
      </c>
      <c r="H75" s="160"/>
      <c r="I75" s="160"/>
      <c r="J75" s="160"/>
      <c r="K75" s="160"/>
      <c r="L75" s="161"/>
      <c r="M75" s="159" t="str">
        <f t="shared" si="4"/>
        <v/>
      </c>
      <c r="N75" s="160"/>
      <c r="O75" s="160"/>
      <c r="P75" s="160"/>
      <c r="Q75" s="161"/>
      <c r="R75" s="159" t="str">
        <f t="shared" si="6"/>
        <v/>
      </c>
      <c r="S75" s="160"/>
      <c r="T75" s="160"/>
      <c r="U75" s="160"/>
      <c r="V75" s="160"/>
      <c r="W75" s="161"/>
    </row>
    <row r="76" spans="1:23">
      <c r="A76" s="29">
        <v>25</v>
      </c>
      <c r="B76" s="159" t="str">
        <f t="shared" si="3"/>
        <v/>
      </c>
      <c r="C76" s="160"/>
      <c r="D76" s="160"/>
      <c r="E76" s="160"/>
      <c r="F76" s="161"/>
      <c r="G76" s="159" t="str">
        <f t="shared" si="5"/>
        <v/>
      </c>
      <c r="H76" s="160"/>
      <c r="I76" s="160"/>
      <c r="J76" s="160"/>
      <c r="K76" s="160"/>
      <c r="L76" s="161"/>
      <c r="M76" s="159" t="str">
        <f t="shared" si="4"/>
        <v/>
      </c>
      <c r="N76" s="160"/>
      <c r="O76" s="160"/>
      <c r="P76" s="160"/>
      <c r="Q76" s="161"/>
      <c r="R76" s="159" t="str">
        <f t="shared" si="6"/>
        <v/>
      </c>
      <c r="S76" s="160"/>
      <c r="T76" s="160"/>
      <c r="U76" s="160"/>
      <c r="V76" s="160"/>
      <c r="W76" s="161"/>
    </row>
    <row r="77" spans="1:23">
      <c r="A77" s="29">
        <v>26</v>
      </c>
      <c r="B77" s="159" t="str">
        <f t="shared" si="3"/>
        <v/>
      </c>
      <c r="C77" s="160"/>
      <c r="D77" s="160"/>
      <c r="E77" s="160"/>
      <c r="F77" s="161"/>
      <c r="G77" s="159" t="str">
        <f t="shared" si="5"/>
        <v/>
      </c>
      <c r="H77" s="160"/>
      <c r="I77" s="160"/>
      <c r="J77" s="160"/>
      <c r="K77" s="160"/>
      <c r="L77" s="161"/>
      <c r="M77" s="159" t="str">
        <f t="shared" si="4"/>
        <v/>
      </c>
      <c r="N77" s="160"/>
      <c r="O77" s="160"/>
      <c r="P77" s="160"/>
      <c r="Q77" s="161"/>
      <c r="R77" s="159" t="str">
        <f t="shared" si="6"/>
        <v/>
      </c>
      <c r="S77" s="160"/>
      <c r="T77" s="160"/>
      <c r="U77" s="160"/>
      <c r="V77" s="160"/>
      <c r="W77" s="161"/>
    </row>
    <row r="78" spans="1:23">
      <c r="A78" s="29">
        <v>27</v>
      </c>
      <c r="B78" s="159" t="str">
        <f t="shared" si="3"/>
        <v/>
      </c>
      <c r="C78" s="160"/>
      <c r="D78" s="160"/>
      <c r="E78" s="160"/>
      <c r="F78" s="161"/>
      <c r="G78" s="159" t="str">
        <f t="shared" si="5"/>
        <v/>
      </c>
      <c r="H78" s="160"/>
      <c r="I78" s="160"/>
      <c r="J78" s="160"/>
      <c r="K78" s="160"/>
      <c r="L78" s="161"/>
      <c r="M78" s="159" t="str">
        <f t="shared" si="4"/>
        <v/>
      </c>
      <c r="N78" s="160"/>
      <c r="O78" s="160"/>
      <c r="P78" s="160"/>
      <c r="Q78" s="161"/>
      <c r="R78" s="159" t="str">
        <f t="shared" si="6"/>
        <v/>
      </c>
      <c r="S78" s="160"/>
      <c r="T78" s="160"/>
      <c r="U78" s="160"/>
      <c r="V78" s="160"/>
      <c r="W78" s="161"/>
    </row>
    <row r="79" spans="1:23">
      <c r="A79" s="29">
        <v>28</v>
      </c>
      <c r="B79" s="159" t="str">
        <f t="shared" si="3"/>
        <v/>
      </c>
      <c r="C79" s="160"/>
      <c r="D79" s="160"/>
      <c r="E79" s="160"/>
      <c r="F79" s="161"/>
      <c r="G79" s="159" t="str">
        <f t="shared" si="5"/>
        <v/>
      </c>
      <c r="H79" s="160"/>
      <c r="I79" s="160"/>
      <c r="J79" s="160"/>
      <c r="K79" s="160"/>
      <c r="L79" s="161"/>
      <c r="M79" s="159" t="str">
        <f t="shared" si="4"/>
        <v/>
      </c>
      <c r="N79" s="160"/>
      <c r="O79" s="160"/>
      <c r="P79" s="160"/>
      <c r="Q79" s="161"/>
      <c r="R79" s="159" t="str">
        <f t="shared" si="6"/>
        <v/>
      </c>
      <c r="S79" s="160"/>
      <c r="T79" s="160"/>
      <c r="U79" s="160"/>
      <c r="V79" s="160"/>
      <c r="W79" s="161"/>
    </row>
    <row r="80" spans="1:23">
      <c r="A80" s="29">
        <v>29</v>
      </c>
      <c r="B80" s="159" t="str">
        <f t="shared" si="3"/>
        <v/>
      </c>
      <c r="C80" s="160"/>
      <c r="D80" s="160"/>
      <c r="E80" s="160"/>
      <c r="F80" s="161"/>
      <c r="G80" s="159" t="str">
        <f t="shared" si="5"/>
        <v/>
      </c>
      <c r="H80" s="160"/>
      <c r="I80" s="160"/>
      <c r="J80" s="160"/>
      <c r="K80" s="160"/>
      <c r="L80" s="161"/>
      <c r="M80" s="159" t="str">
        <f t="shared" si="4"/>
        <v/>
      </c>
      <c r="N80" s="160"/>
      <c r="O80" s="160"/>
      <c r="P80" s="160"/>
      <c r="Q80" s="161"/>
      <c r="R80" s="159" t="str">
        <f t="shared" si="6"/>
        <v/>
      </c>
      <c r="S80" s="160"/>
      <c r="T80" s="160"/>
      <c r="U80" s="160"/>
      <c r="V80" s="160"/>
      <c r="W80" s="161"/>
    </row>
    <row r="81" spans="1:23">
      <c r="A81" s="29">
        <v>30</v>
      </c>
      <c r="B81" s="159" t="str">
        <f t="shared" si="3"/>
        <v/>
      </c>
      <c r="C81" s="160"/>
      <c r="D81" s="160"/>
      <c r="E81" s="160"/>
      <c r="F81" s="161"/>
      <c r="G81" s="159" t="str">
        <f t="shared" si="5"/>
        <v/>
      </c>
      <c r="H81" s="160"/>
      <c r="I81" s="160"/>
      <c r="J81" s="160"/>
      <c r="K81" s="160"/>
      <c r="L81" s="161"/>
      <c r="M81" s="159" t="str">
        <f t="shared" si="4"/>
        <v/>
      </c>
      <c r="N81" s="160"/>
      <c r="O81" s="160"/>
      <c r="P81" s="160"/>
      <c r="Q81" s="161"/>
      <c r="R81" s="159" t="str">
        <f t="shared" si="6"/>
        <v/>
      </c>
      <c r="S81" s="160"/>
      <c r="T81" s="160"/>
      <c r="U81" s="160"/>
      <c r="V81" s="160"/>
      <c r="W81" s="161"/>
    </row>
    <row r="82" spans="1:23">
      <c r="A82" s="29">
        <v>31</v>
      </c>
      <c r="B82" s="159" t="str">
        <f t="shared" si="3"/>
        <v/>
      </c>
      <c r="C82" s="160"/>
      <c r="D82" s="160"/>
      <c r="E82" s="160"/>
      <c r="F82" s="161"/>
      <c r="G82" s="159" t="str">
        <f t="shared" si="5"/>
        <v/>
      </c>
      <c r="H82" s="160"/>
      <c r="I82" s="160"/>
      <c r="J82" s="160"/>
      <c r="K82" s="160"/>
      <c r="L82" s="161"/>
      <c r="M82" s="159" t="str">
        <f t="shared" si="4"/>
        <v/>
      </c>
      <c r="N82" s="160"/>
      <c r="O82" s="160"/>
      <c r="P82" s="160"/>
      <c r="Q82" s="161"/>
      <c r="R82" s="159" t="str">
        <f t="shared" si="6"/>
        <v/>
      </c>
      <c r="S82" s="160"/>
      <c r="T82" s="160"/>
      <c r="U82" s="160"/>
      <c r="V82" s="160"/>
      <c r="W82" s="161"/>
    </row>
  </sheetData>
  <mergeCells count="190">
    <mergeCell ref="M80:Q80"/>
    <mergeCell ref="R80:W80"/>
    <mergeCell ref="M81:Q81"/>
    <mergeCell ref="R81:W81"/>
    <mergeCell ref="M82:Q82"/>
    <mergeCell ref="R82:W82"/>
    <mergeCell ref="M77:Q77"/>
    <mergeCell ref="R77:W77"/>
    <mergeCell ref="M78:Q78"/>
    <mergeCell ref="R78:W78"/>
    <mergeCell ref="M79:Q79"/>
    <mergeCell ref="R79:W79"/>
    <mergeCell ref="M74:Q74"/>
    <mergeCell ref="R74:W74"/>
    <mergeCell ref="M75:Q75"/>
    <mergeCell ref="R75:W75"/>
    <mergeCell ref="M76:Q76"/>
    <mergeCell ref="R76:W76"/>
    <mergeCell ref="M71:Q71"/>
    <mergeCell ref="R71:W71"/>
    <mergeCell ref="M72:Q72"/>
    <mergeCell ref="R72:W72"/>
    <mergeCell ref="M73:Q73"/>
    <mergeCell ref="R73:W73"/>
    <mergeCell ref="M68:Q68"/>
    <mergeCell ref="R68:W68"/>
    <mergeCell ref="M69:Q69"/>
    <mergeCell ref="R69:W69"/>
    <mergeCell ref="M70:Q70"/>
    <mergeCell ref="R70:W70"/>
    <mergeCell ref="M65:Q65"/>
    <mergeCell ref="R65:W65"/>
    <mergeCell ref="M66:Q66"/>
    <mergeCell ref="R66:W66"/>
    <mergeCell ref="M67:Q67"/>
    <mergeCell ref="R67:W67"/>
    <mergeCell ref="M62:Q62"/>
    <mergeCell ref="R62:W62"/>
    <mergeCell ref="M63:Q63"/>
    <mergeCell ref="R63:W63"/>
    <mergeCell ref="M64:Q64"/>
    <mergeCell ref="R64:W64"/>
    <mergeCell ref="M59:Q59"/>
    <mergeCell ref="R59:W59"/>
    <mergeCell ref="M60:Q60"/>
    <mergeCell ref="R60:W60"/>
    <mergeCell ref="M61:Q61"/>
    <mergeCell ref="R61:W61"/>
    <mergeCell ref="M56:Q56"/>
    <mergeCell ref="R56:W56"/>
    <mergeCell ref="M57:Q57"/>
    <mergeCell ref="R57:W57"/>
    <mergeCell ref="M58:Q58"/>
    <mergeCell ref="R58:W58"/>
    <mergeCell ref="M53:Q53"/>
    <mergeCell ref="R53:W53"/>
    <mergeCell ref="M54:Q54"/>
    <mergeCell ref="R54:W54"/>
    <mergeCell ref="M55:Q55"/>
    <mergeCell ref="R55:W55"/>
    <mergeCell ref="M50:W50"/>
    <mergeCell ref="M51:Q51"/>
    <mergeCell ref="R51:W51"/>
    <mergeCell ref="M52:Q52"/>
    <mergeCell ref="R52:W52"/>
    <mergeCell ref="B80:F80"/>
    <mergeCell ref="G80:L80"/>
    <mergeCell ref="B81:F81"/>
    <mergeCell ref="G81:L81"/>
    <mergeCell ref="B82:F82"/>
    <mergeCell ref="G82:L82"/>
    <mergeCell ref="B77:F77"/>
    <mergeCell ref="G77:L77"/>
    <mergeCell ref="B78:F78"/>
    <mergeCell ref="G78:L78"/>
    <mergeCell ref="B79:F79"/>
    <mergeCell ref="G79:L79"/>
    <mergeCell ref="B74:F74"/>
    <mergeCell ref="G74:L74"/>
    <mergeCell ref="B75:F75"/>
    <mergeCell ref="G75:L75"/>
    <mergeCell ref="B76:F76"/>
    <mergeCell ref="G76:L76"/>
    <mergeCell ref="B71:F71"/>
    <mergeCell ref="G71:L71"/>
    <mergeCell ref="B72:F72"/>
    <mergeCell ref="G72:L72"/>
    <mergeCell ref="B73:F73"/>
    <mergeCell ref="G73:L73"/>
    <mergeCell ref="B68:F68"/>
    <mergeCell ref="G68:L68"/>
    <mergeCell ref="B69:F69"/>
    <mergeCell ref="G69:L69"/>
    <mergeCell ref="B70:F70"/>
    <mergeCell ref="G70:L70"/>
    <mergeCell ref="B65:F65"/>
    <mergeCell ref="G65:L65"/>
    <mergeCell ref="B66:F66"/>
    <mergeCell ref="G66:L66"/>
    <mergeCell ref="B67:F67"/>
    <mergeCell ref="G67:L67"/>
    <mergeCell ref="B62:F62"/>
    <mergeCell ref="G62:L62"/>
    <mergeCell ref="B63:F63"/>
    <mergeCell ref="G63:L63"/>
    <mergeCell ref="B64:F64"/>
    <mergeCell ref="G64:L64"/>
    <mergeCell ref="B59:F59"/>
    <mergeCell ref="G59:L59"/>
    <mergeCell ref="B60:F60"/>
    <mergeCell ref="G60:L60"/>
    <mergeCell ref="B61:F61"/>
    <mergeCell ref="G61:L61"/>
    <mergeCell ref="B56:F56"/>
    <mergeCell ref="G56:L56"/>
    <mergeCell ref="B57:F57"/>
    <mergeCell ref="G57:L57"/>
    <mergeCell ref="B58:F58"/>
    <mergeCell ref="G58:L58"/>
    <mergeCell ref="B53:F53"/>
    <mergeCell ref="G53:L53"/>
    <mergeCell ref="B54:F54"/>
    <mergeCell ref="G54:L54"/>
    <mergeCell ref="B55:F55"/>
    <mergeCell ref="G55:L55"/>
    <mergeCell ref="A50:L50"/>
    <mergeCell ref="B51:F51"/>
    <mergeCell ref="G51:L51"/>
    <mergeCell ref="B52:F52"/>
    <mergeCell ref="G52:L52"/>
    <mergeCell ref="A1:B1"/>
    <mergeCell ref="C1:D1"/>
    <mergeCell ref="E1:E2"/>
    <mergeCell ref="F1:H2"/>
    <mergeCell ref="A2:B2"/>
    <mergeCell ref="C2:D2"/>
    <mergeCell ref="A3:B3"/>
    <mergeCell ref="C3:D3"/>
    <mergeCell ref="F3:H3"/>
    <mergeCell ref="A4:B4"/>
    <mergeCell ref="C4:D4"/>
    <mergeCell ref="F4:H4"/>
    <mergeCell ref="J4:L4"/>
    <mergeCell ref="A5:B5"/>
    <mergeCell ref="C5:D5"/>
    <mergeCell ref="E5:F5"/>
    <mergeCell ref="G5:H5"/>
    <mergeCell ref="J5:L5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C44:G44"/>
    <mergeCell ref="J44:L44"/>
    <mergeCell ref="C45:G45"/>
    <mergeCell ref="C46:G46"/>
    <mergeCell ref="J46:L46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400050</xdr:colOff>
                    <xdr:row>0</xdr:row>
                    <xdr:rowOff>19050</xdr:rowOff>
                  </from>
                  <to>
                    <xdr:col>14</xdr:col>
                    <xdr:colOff>400050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13807-E2AA-4373-AA20-A550D3C11451}">
  <sheetPr codeName="Sheet6"/>
  <dimension ref="A1:AD82"/>
  <sheetViews>
    <sheetView topLeftCell="J28" workbookViewId="0">
      <selection activeCell="R53" sqref="R52:W53"/>
    </sheetView>
  </sheetViews>
  <sheetFormatPr defaultRowHeight="16.5"/>
  <cols>
    <col min="1" max="1" width="6.875" customWidth="1"/>
    <col min="2" max="2" width="29.375" bestFit="1" customWidth="1"/>
    <col min="3" max="3" width="28.625" customWidth="1"/>
    <col min="4" max="4" width="6.875" customWidth="1"/>
    <col min="5" max="5" width="13.375" customWidth="1"/>
    <col min="6" max="6" width="7.125" customWidth="1"/>
    <col min="7" max="7" width="4.375" customWidth="1"/>
    <col min="8" max="8" width="15.875" customWidth="1"/>
    <col min="9" max="9" width="14.125" customWidth="1"/>
    <col min="10" max="10" width="11.875" customWidth="1"/>
    <col min="11" max="11" width="10.375" customWidth="1"/>
    <col min="12" max="12" width="10.75" customWidth="1"/>
    <col min="13" max="13" width="4.25" customWidth="1"/>
    <col min="14" max="14" width="8.75" style="18"/>
    <col min="15" max="15" width="10.5" customWidth="1"/>
  </cols>
  <sheetData>
    <row r="1" spans="1:30" ht="16.5" customHeight="1">
      <c r="A1" s="124" t="s">
        <v>1</v>
      </c>
      <c r="B1" s="125"/>
      <c r="C1" s="122" t="s">
        <v>38</v>
      </c>
      <c r="D1" s="122"/>
      <c r="E1" s="122" t="s">
        <v>19</v>
      </c>
      <c r="F1" s="141" t="s">
        <v>2</v>
      </c>
      <c r="G1" s="141"/>
      <c r="H1" s="142"/>
      <c r="I1" s="16" t="s">
        <v>3</v>
      </c>
      <c r="J1" s="6" t="s">
        <v>39</v>
      </c>
      <c r="K1" s="11" t="s">
        <v>4</v>
      </c>
      <c r="L1" s="13">
        <v>43755</v>
      </c>
      <c r="M1" s="34"/>
    </row>
    <row r="2" spans="1:30" ht="16.5" customHeight="1">
      <c r="A2" s="126" t="s">
        <v>5</v>
      </c>
      <c r="B2" s="127"/>
      <c r="C2" s="122"/>
      <c r="D2" s="122"/>
      <c r="E2" s="122"/>
      <c r="F2" s="143"/>
      <c r="G2" s="143"/>
      <c r="H2" s="144"/>
      <c r="I2" s="1" t="s">
        <v>6</v>
      </c>
      <c r="J2" s="6"/>
      <c r="K2" s="15" t="s">
        <v>7</v>
      </c>
      <c r="L2" s="13"/>
      <c r="M2" s="34"/>
    </row>
    <row r="3" spans="1:30">
      <c r="A3" s="128" t="s">
        <v>0</v>
      </c>
      <c r="B3" s="129"/>
      <c r="C3" s="139"/>
      <c r="D3" s="140"/>
      <c r="E3" s="23" t="s">
        <v>8</v>
      </c>
      <c r="F3" s="145" t="s">
        <v>29</v>
      </c>
      <c r="G3" s="145"/>
      <c r="H3" s="145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PLISTBYMACHINE ;</v>
      </c>
    </row>
    <row r="4" spans="1:30" ht="16.5" customHeight="1">
      <c r="A4" s="122" t="s">
        <v>12</v>
      </c>
      <c r="B4" s="122"/>
      <c r="C4" s="122"/>
      <c r="D4" s="122"/>
      <c r="E4" s="6" t="s">
        <v>13</v>
      </c>
      <c r="F4" s="123" t="str">
        <f>UPPER("plistbymachine")</f>
        <v>PLISTBYMACHINE</v>
      </c>
      <c r="G4" s="123"/>
      <c r="H4" s="123"/>
      <c r="I4" s="58" t="s">
        <v>14</v>
      </c>
      <c r="J4" s="132" t="s">
        <v>113</v>
      </c>
      <c r="K4" s="133"/>
      <c r="L4" s="134"/>
      <c r="M4" s="36"/>
      <c r="N4" s="20"/>
      <c r="O4" s="17"/>
    </row>
    <row r="5" spans="1:30" ht="16.5" customHeight="1">
      <c r="A5" s="135" t="s">
        <v>31</v>
      </c>
      <c r="B5" s="136"/>
      <c r="C5" s="135"/>
      <c r="D5" s="136"/>
      <c r="E5" s="137" t="s">
        <v>33</v>
      </c>
      <c r="F5" s="138"/>
      <c r="G5" s="132" t="s">
        <v>34</v>
      </c>
      <c r="H5" s="134"/>
      <c r="I5" s="58" t="s">
        <v>32</v>
      </c>
      <c r="J5" s="132"/>
      <c r="K5" s="133"/>
      <c r="L5" s="134"/>
      <c r="M5" s="36"/>
      <c r="N5" s="20"/>
      <c r="O5" s="17"/>
    </row>
    <row r="6" spans="1:30" s="3" customFormat="1" ht="13.5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0" t="s">
        <v>37</v>
      </c>
      <c r="K6" s="131"/>
      <c r="L6" s="107" t="s">
        <v>26</v>
      </c>
      <c r="M6" s="37"/>
      <c r="N6" s="71" t="str">
        <f>CONCATENATE("CREATE TABLE ",$F$4," (")</f>
        <v>CREATE TABLE PLISTBYMACHINE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PLISTBYMACHINE IS '기계 생산가능 제품'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 s="27" customFormat="1" ht="13.5" customHeight="1">
      <c r="A7" s="104">
        <v>1</v>
      </c>
      <c r="B7" s="59" t="s">
        <v>100</v>
      </c>
      <c r="C7" s="59" t="s">
        <v>40</v>
      </c>
      <c r="D7" s="59" t="s">
        <v>43</v>
      </c>
      <c r="E7" s="59" t="s">
        <v>45</v>
      </c>
      <c r="F7" s="91">
        <v>5</v>
      </c>
      <c r="G7" s="95" t="s">
        <v>72</v>
      </c>
      <c r="H7" s="95" t="s">
        <v>103</v>
      </c>
      <c r="I7" s="96"/>
      <c r="J7" s="121"/>
      <c r="K7" s="121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MachineID                      CHAR (5)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PLISTBYMACHINE.MachineID IS '기계ID' ;</v>
      </c>
      <c r="V7" s="75"/>
      <c r="W7" s="75"/>
      <c r="X7" s="75"/>
      <c r="Y7" s="75"/>
      <c r="Z7" s="75"/>
      <c r="AA7" s="75"/>
      <c r="AB7" s="75"/>
      <c r="AC7" s="75"/>
    </row>
    <row r="8" spans="1:30" s="3" customFormat="1" ht="14.25">
      <c r="A8" s="104">
        <v>2</v>
      </c>
      <c r="B8" s="59" t="s">
        <v>101</v>
      </c>
      <c r="C8" s="59" t="s">
        <v>63</v>
      </c>
      <c r="D8" s="59" t="s">
        <v>43</v>
      </c>
      <c r="E8" s="59" t="s">
        <v>45</v>
      </c>
      <c r="F8" s="92">
        <v>5</v>
      </c>
      <c r="G8" s="95" t="s">
        <v>72</v>
      </c>
      <c r="H8" s="98" t="s">
        <v>104</v>
      </c>
      <c r="I8" s="59"/>
      <c r="J8" s="121"/>
      <c r="K8" s="121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ProductionID                   CHAR (5)   NOT NULL  ,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PLISTBYMACHINE.ProductionID IS '제품ID' ;</v>
      </c>
      <c r="V8" s="72"/>
      <c r="W8" s="72"/>
      <c r="X8" s="72"/>
      <c r="Y8" s="72"/>
      <c r="Z8" s="72"/>
      <c r="AA8" s="72"/>
      <c r="AB8" s="72"/>
      <c r="AC8" s="72"/>
    </row>
    <row r="9" spans="1:30" s="27" customFormat="1" ht="18.600000000000001" customHeight="1">
      <c r="A9" s="104">
        <v>3</v>
      </c>
      <c r="B9" s="61" t="s">
        <v>102</v>
      </c>
      <c r="C9" s="59" t="s">
        <v>99</v>
      </c>
      <c r="D9" s="59" t="s">
        <v>90</v>
      </c>
      <c r="E9" s="59" t="s">
        <v>62</v>
      </c>
      <c r="F9" s="92"/>
      <c r="G9" s="95"/>
      <c r="H9" s="95"/>
      <c r="I9" s="96"/>
      <c r="J9" s="147"/>
      <c r="K9" s="147"/>
      <c r="L9" s="97"/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 xml:space="preserve">CapacityPerDay                 INT     NOT NULL  </v>
      </c>
      <c r="O9" s="74"/>
      <c r="P9" s="75"/>
      <c r="Q9" s="75"/>
      <c r="R9" s="75"/>
      <c r="S9" s="75"/>
      <c r="T9" s="75"/>
      <c r="U9" s="73" t="str">
        <f t="shared" si="0"/>
        <v>COMMENT ON COLUMN PLISTBYMACHINE.CapacityPerDay IS '하루예상생산량' ;</v>
      </c>
      <c r="V9" s="75"/>
      <c r="W9" s="75"/>
      <c r="X9" s="75"/>
      <c r="Y9" s="75"/>
      <c r="Z9" s="75"/>
      <c r="AA9" s="75"/>
      <c r="AB9" s="75"/>
      <c r="AC9" s="75"/>
    </row>
    <row r="10" spans="1:30" s="27" customFormat="1" ht="14.25">
      <c r="A10" s="104">
        <v>4</v>
      </c>
      <c r="B10" s="59"/>
      <c r="C10" s="65"/>
      <c r="D10" s="67"/>
      <c r="E10" s="89"/>
      <c r="F10" s="93"/>
      <c r="G10" s="95"/>
      <c r="H10" s="95"/>
      <c r="I10" s="96"/>
      <c r="J10" s="148"/>
      <c r="K10" s="148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) Tablespace TS_HEMR_DATA ;</v>
      </c>
      <c r="O10" s="74"/>
      <c r="P10" s="75"/>
      <c r="Q10" s="75"/>
      <c r="R10" s="75"/>
      <c r="S10" s="75"/>
      <c r="T10" s="75"/>
      <c r="U10" s="73" t="str">
        <f t="shared" si="0"/>
        <v>COMMENT ON COLUMN PLISTBYMACHINE. IS '' ;</v>
      </c>
      <c r="V10" s="75"/>
      <c r="W10" s="75"/>
      <c r="X10" s="75"/>
      <c r="Y10" s="75"/>
      <c r="Z10" s="75"/>
      <c r="AA10" s="75"/>
      <c r="AB10" s="75"/>
      <c r="AC10" s="75"/>
    </row>
    <row r="11" spans="1:30" s="27" customFormat="1" ht="14.25">
      <c r="A11" s="104">
        <v>5</v>
      </c>
      <c r="B11" s="59"/>
      <c r="C11" s="59"/>
      <c r="D11" s="108"/>
      <c r="E11" s="88"/>
      <c r="F11" s="92"/>
      <c r="G11" s="95"/>
      <c r="H11" s="95"/>
      <c r="I11" s="96"/>
      <c r="J11" s="147"/>
      <c r="K11" s="147"/>
      <c r="L11" s="97"/>
      <c r="M11" s="28"/>
      <c r="N11" s="71" t="str">
        <f t="shared" si="1"/>
        <v>) Tablespace TS_HEMR_DATA ;</v>
      </c>
      <c r="O11" s="74"/>
      <c r="P11" s="75"/>
      <c r="Q11" s="75"/>
      <c r="R11" s="75"/>
      <c r="S11" s="75"/>
      <c r="T11" s="75"/>
      <c r="U11" s="73" t="str">
        <f t="shared" si="0"/>
        <v>COMMENT ON COLUMN PLISTBYMACHINE. IS '' ;</v>
      </c>
      <c r="V11" s="75"/>
      <c r="W11" s="75"/>
      <c r="X11" s="75"/>
      <c r="Y11" s="75"/>
      <c r="Z11" s="75"/>
      <c r="AA11" s="75"/>
      <c r="AB11" s="75"/>
      <c r="AC11" s="75"/>
    </row>
    <row r="12" spans="1:30" s="27" customFormat="1" ht="19.5" customHeight="1">
      <c r="A12" s="104">
        <v>6</v>
      </c>
      <c r="B12" s="59"/>
      <c r="C12" s="65"/>
      <c r="D12" s="108"/>
      <c r="E12" s="88"/>
      <c r="F12" s="93"/>
      <c r="G12" s="95"/>
      <c r="H12" s="95"/>
      <c r="I12" s="96"/>
      <c r="J12" s="121"/>
      <c r="K12" s="121"/>
      <c r="L12" s="97"/>
      <c r="M12" s="28"/>
      <c r="N12" s="71" t="str">
        <f t="shared" si="1"/>
        <v>) Tablespace TS_HEMR_DATA ;</v>
      </c>
      <c r="O12" s="74"/>
      <c r="P12" s="75"/>
      <c r="Q12" s="75"/>
      <c r="R12" s="75"/>
      <c r="S12" s="75"/>
      <c r="T12" s="75"/>
      <c r="U12" s="73" t="str">
        <f t="shared" si="0"/>
        <v>COMMENT ON COLUMN PLISTBYMACHINE. IS '' ;</v>
      </c>
      <c r="V12" s="75"/>
      <c r="W12" s="75"/>
      <c r="X12" s="75"/>
      <c r="Y12" s="75"/>
      <c r="Z12" s="75"/>
      <c r="AA12" s="75"/>
      <c r="AB12" s="75"/>
      <c r="AC12" s="75"/>
    </row>
    <row r="13" spans="1:30" s="27" customFormat="1" ht="14.25">
      <c r="A13" s="104">
        <v>7</v>
      </c>
      <c r="B13" s="59"/>
      <c r="C13" s="65"/>
      <c r="D13" s="108"/>
      <c r="E13" s="88"/>
      <c r="F13" s="94"/>
      <c r="G13" s="95"/>
      <c r="H13" s="95"/>
      <c r="I13" s="96"/>
      <c r="J13" s="121"/>
      <c r="K13" s="121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) Tablespace TS_HEMR_DATA ;</v>
      </c>
      <c r="O13" s="74"/>
      <c r="P13" s="75"/>
      <c r="Q13" s="75"/>
      <c r="R13" s="75"/>
      <c r="S13" s="75"/>
      <c r="T13" s="75"/>
      <c r="U13" s="73" t="str">
        <f t="shared" si="0"/>
        <v>COMMENT ON COLUMN PLISTBYMACHINE. IS '' ;</v>
      </c>
      <c r="V13" s="75"/>
      <c r="W13" s="75"/>
      <c r="X13" s="75"/>
      <c r="Y13" s="75"/>
      <c r="Z13" s="75"/>
      <c r="AA13" s="75"/>
      <c r="AB13" s="75"/>
      <c r="AC13" s="75"/>
    </row>
    <row r="14" spans="1:30" s="27" customFormat="1" ht="14.25">
      <c r="A14" s="104">
        <v>8</v>
      </c>
      <c r="B14" s="59"/>
      <c r="C14" s="59"/>
      <c r="D14" s="67"/>
      <c r="E14" s="88"/>
      <c r="F14" s="94"/>
      <c r="G14" s="95"/>
      <c r="H14" s="95"/>
      <c r="I14" s="96"/>
      <c r="J14" s="121"/>
      <c r="K14" s="121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74"/>
      <c r="P14" s="75"/>
      <c r="Q14" s="75"/>
      <c r="R14" s="75"/>
      <c r="S14" s="75"/>
      <c r="T14" s="75"/>
      <c r="U14" s="73" t="str">
        <f t="shared" si="0"/>
        <v>COMMENT ON COLUMN PLISTBYMACHINE. IS '' ;</v>
      </c>
      <c r="V14" s="75"/>
      <c r="W14" s="75"/>
      <c r="X14" s="75"/>
      <c r="Y14" s="75"/>
      <c r="Z14" s="75"/>
      <c r="AA14" s="75"/>
      <c r="AB14" s="75"/>
      <c r="AC14" s="75"/>
    </row>
    <row r="15" spans="1:30" s="27" customFormat="1" ht="14.25">
      <c r="A15" s="104">
        <v>9</v>
      </c>
      <c r="B15" s="66"/>
      <c r="C15" s="66"/>
      <c r="D15" s="70"/>
      <c r="E15" s="90"/>
      <c r="F15" s="93"/>
      <c r="G15" s="95"/>
      <c r="H15" s="95"/>
      <c r="I15" s="100"/>
      <c r="J15" s="121"/>
      <c r="K15" s="121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PLISTBYMACHINE. IS '' ;</v>
      </c>
      <c r="V15" s="75"/>
      <c r="W15" s="75"/>
      <c r="X15" s="75"/>
      <c r="Y15" s="75"/>
      <c r="Z15" s="75"/>
      <c r="AA15" s="75"/>
      <c r="AB15" s="75"/>
      <c r="AC15" s="75"/>
    </row>
    <row r="16" spans="1:30" s="27" customFormat="1" ht="14.25">
      <c r="A16" s="104">
        <v>10</v>
      </c>
      <c r="B16" s="101"/>
      <c r="C16" s="101"/>
      <c r="D16" s="69"/>
      <c r="E16" s="102"/>
      <c r="F16" s="103"/>
      <c r="G16" s="95"/>
      <c r="H16" s="95"/>
      <c r="I16" s="96"/>
      <c r="J16" s="121"/>
      <c r="K16" s="121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PLISTBYMACHINE. IS '' ;</v>
      </c>
      <c r="V16" s="75"/>
      <c r="W16" s="75"/>
      <c r="X16" s="75"/>
      <c r="Y16" s="75"/>
      <c r="Z16" s="75"/>
      <c r="AA16" s="75"/>
      <c r="AB16" s="75"/>
      <c r="AC16" s="75"/>
    </row>
    <row r="17" spans="1:29" s="3" customFormat="1" ht="14.25">
      <c r="A17" s="104">
        <v>11</v>
      </c>
      <c r="B17" s="101"/>
      <c r="C17" s="101"/>
      <c r="D17" s="67"/>
      <c r="E17" s="102"/>
      <c r="F17" s="103"/>
      <c r="G17" s="95"/>
      <c r="H17" s="95"/>
      <c r="I17" s="96"/>
      <c r="J17" s="121"/>
      <c r="K17" s="121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PLISTBYMACHINE. IS '' ;</v>
      </c>
      <c r="V17" s="72"/>
      <c r="W17" s="72"/>
      <c r="X17" s="72"/>
      <c r="Y17" s="72"/>
      <c r="Z17" s="72"/>
      <c r="AA17" s="72"/>
      <c r="AB17" s="72"/>
      <c r="AC17" s="72"/>
    </row>
    <row r="18" spans="1:29" s="3" customFormat="1" ht="14.25">
      <c r="A18" s="104">
        <v>12</v>
      </c>
      <c r="B18" s="101"/>
      <c r="C18" s="101"/>
      <c r="D18" s="68"/>
      <c r="E18" s="102"/>
      <c r="F18" s="103"/>
      <c r="G18" s="95"/>
      <c r="H18" s="95"/>
      <c r="I18" s="96"/>
      <c r="J18" s="121"/>
      <c r="K18" s="121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PLISTBYMACHINE. IS '' ;</v>
      </c>
      <c r="V18" s="72"/>
      <c r="W18" s="72"/>
      <c r="X18" s="72"/>
      <c r="Y18" s="72"/>
      <c r="Z18" s="72"/>
      <c r="AA18" s="72"/>
      <c r="AB18" s="72"/>
      <c r="AC18" s="72"/>
    </row>
    <row r="19" spans="1:29" s="3" customFormat="1" ht="14.25">
      <c r="A19" s="104">
        <v>13</v>
      </c>
      <c r="B19" s="101"/>
      <c r="C19" s="101"/>
      <c r="D19" s="87"/>
      <c r="E19" s="102"/>
      <c r="F19" s="103"/>
      <c r="G19" s="95"/>
      <c r="H19" s="95"/>
      <c r="I19" s="96"/>
      <c r="J19" s="121"/>
      <c r="K19" s="121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PLISTBYMACHINE. IS '' ;</v>
      </c>
      <c r="V19" s="72"/>
      <c r="W19" s="72"/>
      <c r="X19" s="72"/>
      <c r="Y19" s="72"/>
      <c r="Z19" s="72"/>
      <c r="AA19" s="72"/>
      <c r="AB19" s="72"/>
      <c r="AC19" s="72"/>
    </row>
    <row r="20" spans="1:29" s="3" customFormat="1" ht="14.25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21"/>
      <c r="K20" s="121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PLISTBYMACHINE. IS '' ;</v>
      </c>
      <c r="V20" s="72"/>
      <c r="W20" s="72"/>
      <c r="X20" s="72"/>
      <c r="Y20" s="72"/>
      <c r="Z20" s="72"/>
      <c r="AA20" s="72"/>
      <c r="AB20" s="72"/>
      <c r="AC20" s="72"/>
    </row>
    <row r="21" spans="1:29" s="3" customFormat="1" ht="14.25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21"/>
      <c r="K21" s="121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PLISTBYMACHINE. IS '' ;</v>
      </c>
      <c r="V21" s="72"/>
      <c r="W21" s="72"/>
      <c r="X21" s="72"/>
      <c r="Y21" s="72"/>
      <c r="Z21" s="72"/>
      <c r="AA21" s="72"/>
      <c r="AB21" s="72"/>
      <c r="AC21" s="72"/>
    </row>
    <row r="22" spans="1:29" s="3" customFormat="1" ht="14.25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21"/>
      <c r="K22" s="121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PLISTBYMACHINE. IS '' ;</v>
      </c>
      <c r="V22" s="72"/>
      <c r="W22" s="72"/>
      <c r="X22" s="72"/>
      <c r="Y22" s="72"/>
      <c r="Z22" s="72"/>
      <c r="AA22" s="72"/>
      <c r="AB22" s="72"/>
      <c r="AC22" s="72"/>
    </row>
    <row r="23" spans="1:29" s="3" customFormat="1" ht="13.5" customHeight="1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21"/>
      <c r="K23" s="121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PLISTBYMACHINE. IS '' ;</v>
      </c>
      <c r="V23" s="72"/>
      <c r="W23" s="72"/>
      <c r="X23" s="72"/>
      <c r="Y23" s="72"/>
      <c r="Z23" s="72"/>
      <c r="AA23" s="72"/>
      <c r="AB23" s="72"/>
      <c r="AC23" s="72"/>
    </row>
    <row r="24" spans="1:29" s="3" customFormat="1" ht="14.25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21"/>
      <c r="K24" s="121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PLISTBYMACHINE. IS '' ;</v>
      </c>
      <c r="V24" s="72"/>
      <c r="W24" s="72"/>
      <c r="X24" s="72"/>
      <c r="Y24" s="72"/>
      <c r="Z24" s="72"/>
      <c r="AA24" s="72"/>
      <c r="AB24" s="72"/>
      <c r="AC24" s="72"/>
    </row>
    <row r="25" spans="1:29" s="3" customFormat="1" ht="13.5" customHeight="1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21"/>
      <c r="K25" s="121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PLISTBYMACHINE. IS '' ;</v>
      </c>
      <c r="V25" s="72"/>
      <c r="W25" s="72"/>
      <c r="X25" s="72"/>
      <c r="Y25" s="72"/>
      <c r="Z25" s="72"/>
      <c r="AA25" s="72"/>
      <c r="AB25" s="72"/>
      <c r="AC25" s="72"/>
    </row>
    <row r="26" spans="1:29" s="3" customFormat="1" ht="14.25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21"/>
      <c r="K26" s="121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PLISTBYMACHINE. IS '' ;</v>
      </c>
      <c r="V26" s="72"/>
      <c r="W26" s="72"/>
      <c r="X26" s="72"/>
      <c r="Y26" s="72"/>
      <c r="Z26" s="72"/>
      <c r="AA26" s="72"/>
      <c r="AB26" s="72"/>
      <c r="AC26" s="72"/>
    </row>
    <row r="27" spans="1:29" s="3" customFormat="1" ht="14.25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21"/>
      <c r="K27" s="121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PLISTBYMACHINE. IS '' ;</v>
      </c>
      <c r="V27" s="72"/>
      <c r="W27" s="72"/>
      <c r="X27" s="72"/>
      <c r="Y27" s="72"/>
      <c r="Z27" s="72"/>
      <c r="AA27" s="72"/>
      <c r="AB27" s="72"/>
      <c r="AC27" s="72"/>
    </row>
    <row r="28" spans="1:29" s="3" customFormat="1" ht="14.25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21"/>
      <c r="K28" s="121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PLISTBYMACHINE. IS '' ;</v>
      </c>
      <c r="V28" s="72"/>
      <c r="W28" s="72"/>
      <c r="X28" s="72"/>
      <c r="Y28" s="72"/>
      <c r="Z28" s="72"/>
      <c r="AA28" s="72"/>
      <c r="AB28" s="72"/>
      <c r="AC28" s="72"/>
    </row>
    <row r="29" spans="1:29" s="3" customFormat="1" ht="14.25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21"/>
      <c r="K29" s="121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PLISTBYMACHINE. IS '' ;</v>
      </c>
      <c r="V29" s="72"/>
      <c r="W29" s="72"/>
      <c r="X29" s="72"/>
      <c r="Y29" s="72"/>
      <c r="Z29" s="72"/>
      <c r="AA29" s="72"/>
      <c r="AB29" s="72"/>
      <c r="AC29" s="72"/>
    </row>
    <row r="30" spans="1:29" s="3" customFormat="1" ht="14.25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21"/>
      <c r="K30" s="121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PLISTBYMACHINE. IS '' ;</v>
      </c>
      <c r="V30" s="72"/>
      <c r="W30" s="72"/>
      <c r="X30" s="72"/>
      <c r="Y30" s="72"/>
      <c r="Z30" s="72"/>
      <c r="AA30" s="72"/>
      <c r="AB30" s="72"/>
      <c r="AC30" s="72"/>
    </row>
    <row r="31" spans="1:29" s="3" customFormat="1" ht="14.25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21"/>
      <c r="K31" s="121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PLISTBYMACHINE. IS '' ;</v>
      </c>
      <c r="V31" s="72"/>
      <c r="W31" s="72"/>
      <c r="X31" s="72"/>
      <c r="Y31" s="72"/>
      <c r="Z31" s="72"/>
      <c r="AA31" s="72"/>
      <c r="AB31" s="72"/>
      <c r="AC31" s="72"/>
    </row>
    <row r="32" spans="1:29" s="3" customFormat="1" ht="14.25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21"/>
      <c r="K32" s="121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PLISTBYMACHINE. IS '' ;</v>
      </c>
      <c r="V32" s="72"/>
      <c r="W32" s="72"/>
      <c r="X32" s="72"/>
      <c r="Y32" s="72"/>
      <c r="Z32" s="72"/>
      <c r="AA32" s="72"/>
      <c r="AB32" s="72"/>
      <c r="AC32" s="72"/>
    </row>
    <row r="33" spans="1:29" s="3" customFormat="1" ht="14.25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21"/>
      <c r="K33" s="121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PLISTBYMACHINE. IS '' ;</v>
      </c>
      <c r="V33" s="72"/>
      <c r="W33" s="72"/>
      <c r="X33" s="72"/>
      <c r="Y33" s="72"/>
      <c r="Z33" s="72"/>
      <c r="AA33" s="72"/>
      <c r="AB33" s="72"/>
      <c r="AC33" s="72"/>
    </row>
    <row r="34" spans="1:29" s="3" customFormat="1" ht="14.25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21"/>
      <c r="K34" s="121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PLISTBYMACHINE. IS '' ;</v>
      </c>
      <c r="V34" s="72"/>
      <c r="W34" s="72"/>
      <c r="X34" s="72"/>
      <c r="Y34" s="72"/>
      <c r="Z34" s="72"/>
      <c r="AA34" s="72"/>
      <c r="AB34" s="72"/>
      <c r="AC34" s="72"/>
    </row>
    <row r="35" spans="1:29" s="3" customFormat="1" ht="14.25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21"/>
      <c r="K35" s="121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PLISTBYMACHINE. IS '' ;</v>
      </c>
      <c r="V35" s="72"/>
      <c r="W35" s="72"/>
      <c r="X35" s="72"/>
      <c r="Y35" s="72"/>
      <c r="Z35" s="72"/>
      <c r="AA35" s="72"/>
      <c r="AB35" s="72"/>
      <c r="AC35" s="72"/>
    </row>
    <row r="36" spans="1:29" s="3" customFormat="1" ht="14.25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21"/>
      <c r="K36" s="121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</row>
    <row r="37" spans="1:29" s="3" customFormat="1" ht="14.25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21"/>
      <c r="K37" s="121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</row>
    <row r="38" spans="1:29" s="3" customFormat="1" ht="13.5">
      <c r="A38" s="40"/>
      <c r="B38" s="41"/>
      <c r="C38" s="41"/>
      <c r="D38" s="43"/>
      <c r="E38" s="43"/>
      <c r="F38" s="43"/>
      <c r="G38" s="50"/>
      <c r="H38" s="43"/>
      <c r="I38" s="44"/>
      <c r="J38" s="146"/>
      <c r="K38" s="146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</row>
    <row r="39" spans="1:29" s="3" customFormat="1" ht="13.5">
      <c r="A39" s="42"/>
      <c r="B39" s="41"/>
      <c r="C39" s="41"/>
      <c r="D39" s="43"/>
      <c r="E39" s="43"/>
      <c r="F39" s="43"/>
      <c r="G39" s="43"/>
      <c r="H39" s="43"/>
      <c r="I39" s="44"/>
      <c r="J39" s="57"/>
      <c r="K39" s="57"/>
      <c r="L39" s="28"/>
      <c r="M39" s="8"/>
      <c r="N39" s="71" t="s">
        <v>36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</row>
    <row r="40" spans="1:29" s="3" customFormat="1" ht="13.5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9" s="3" customFormat="1" ht="13.5">
      <c r="A41" s="40"/>
      <c r="B41" s="26"/>
      <c r="C41" s="26"/>
      <c r="D41" s="25"/>
      <c r="E41" s="25"/>
      <c r="F41" s="25"/>
      <c r="G41" s="25"/>
      <c r="H41" s="25"/>
      <c r="I41" s="26"/>
      <c r="J41" s="57"/>
      <c r="K41" s="57"/>
      <c r="L41" s="8"/>
      <c r="M41" s="8"/>
      <c r="N41" s="22"/>
      <c r="O41" s="8"/>
    </row>
    <row r="42" spans="1:29" s="2" customFormat="1" ht="13.5">
      <c r="A42" s="77" t="s">
        <v>11</v>
      </c>
      <c r="B42" s="77" t="s">
        <v>30</v>
      </c>
      <c r="C42" s="153" t="s">
        <v>15</v>
      </c>
      <c r="D42" s="153"/>
      <c r="E42" s="153"/>
      <c r="F42" s="153"/>
      <c r="G42" s="153"/>
      <c r="H42" s="77" t="s">
        <v>27</v>
      </c>
      <c r="I42" s="77" t="s">
        <v>17</v>
      </c>
      <c r="J42" s="154" t="s">
        <v>28</v>
      </c>
      <c r="K42" s="155"/>
      <c r="L42" s="156"/>
      <c r="M42" s="78"/>
      <c r="N42" s="79"/>
      <c r="O42" s="79"/>
      <c r="P42" s="80"/>
      <c r="Q42" s="80"/>
      <c r="R42" s="80"/>
      <c r="S42" s="80"/>
      <c r="T42" s="80"/>
      <c r="U42" s="80"/>
    </row>
    <row r="43" spans="1:29" s="2" customFormat="1" ht="13.5">
      <c r="A43" s="81">
        <v>1</v>
      </c>
      <c r="B43" s="64"/>
      <c r="C43" s="149"/>
      <c r="D43" s="149"/>
      <c r="E43" s="149"/>
      <c r="F43" s="149"/>
      <c r="G43" s="149"/>
      <c r="H43" s="81"/>
      <c r="I43" s="82"/>
      <c r="J43" s="150"/>
      <c r="K43" s="151"/>
      <c r="L43" s="152"/>
      <c r="M43" s="83"/>
      <c r="N43" s="79" t="str">
        <f>CONCATENATE("CREATE ", IF(H43&lt;&gt;"", "UNIQUE ", ""),"INDEX ", B43, " ON ", $F$4, "( ",C43, " ) " )</f>
        <v xml:space="preserve">CREATE INDEX  ON PLISTBYMACHINE(  ) </v>
      </c>
      <c r="O43" s="79"/>
      <c r="P43" s="80"/>
      <c r="Q43" s="80"/>
      <c r="R43" s="80"/>
      <c r="S43" s="80"/>
      <c r="T43" s="80"/>
      <c r="U43" s="80"/>
    </row>
    <row r="44" spans="1:29" s="2" customFormat="1" ht="13.5">
      <c r="A44" s="81">
        <v>2</v>
      </c>
      <c r="B44" s="64"/>
      <c r="C44" s="149"/>
      <c r="D44" s="149"/>
      <c r="E44" s="149"/>
      <c r="F44" s="149"/>
      <c r="G44" s="149"/>
      <c r="H44" s="81"/>
      <c r="I44" s="82"/>
      <c r="J44" s="150"/>
      <c r="K44" s="151"/>
      <c r="L44" s="152"/>
      <c r="M44" s="83"/>
      <c r="N44" s="79" t="str">
        <f t="shared" ref="N44:N46" si="2">CONCATENATE("CREATE ", IF(H44&lt;&gt;"", "UNIQUE ", ""),"INDEX ", B44, " ON ", $F$4, "( ",C44, " ) " )</f>
        <v xml:space="preserve">CREATE INDEX  ON PLISTBYMACHINE(  ) </v>
      </c>
      <c r="O44" s="79"/>
      <c r="P44" s="80"/>
      <c r="Q44" s="80"/>
      <c r="R44" s="80"/>
      <c r="S44" s="80"/>
      <c r="T44" s="80"/>
      <c r="U44" s="80"/>
    </row>
    <row r="45" spans="1:29" s="2" customFormat="1" ht="13.5">
      <c r="A45" s="81">
        <v>3</v>
      </c>
      <c r="B45" s="64"/>
      <c r="C45" s="149"/>
      <c r="D45" s="149"/>
      <c r="E45" s="149"/>
      <c r="F45" s="149"/>
      <c r="G45" s="149"/>
      <c r="H45" s="81"/>
      <c r="I45" s="82"/>
      <c r="J45" s="84"/>
      <c r="K45" s="85"/>
      <c r="L45" s="86"/>
      <c r="M45" s="83"/>
      <c r="N45" s="79" t="str">
        <f t="shared" si="2"/>
        <v xml:space="preserve">CREATE INDEX  ON PLISTBYMACHINE(  ) </v>
      </c>
      <c r="O45" s="79"/>
      <c r="P45" s="80"/>
      <c r="Q45" s="80"/>
      <c r="R45" s="80"/>
      <c r="S45" s="80"/>
      <c r="T45" s="80"/>
      <c r="U45" s="80"/>
    </row>
    <row r="46" spans="1:29" s="2" customFormat="1" ht="13.5">
      <c r="A46" s="81">
        <v>4</v>
      </c>
      <c r="B46" s="64"/>
      <c r="C46" s="149"/>
      <c r="D46" s="149"/>
      <c r="E46" s="149"/>
      <c r="F46" s="149"/>
      <c r="G46" s="149"/>
      <c r="H46" s="81"/>
      <c r="I46" s="82"/>
      <c r="J46" s="150"/>
      <c r="K46" s="151"/>
      <c r="L46" s="152"/>
      <c r="M46" s="83"/>
      <c r="N46" s="79" t="str">
        <f t="shared" si="2"/>
        <v xml:space="preserve">CREATE INDEX  ON PLISTBYMACHINE(  ) </v>
      </c>
      <c r="O46" s="79"/>
      <c r="P46" s="80"/>
      <c r="Q46" s="80"/>
      <c r="R46" s="80"/>
      <c r="S46" s="80"/>
      <c r="T46" s="80"/>
      <c r="U46" s="80"/>
    </row>
    <row r="47" spans="1:29" s="2" customFormat="1" ht="13.5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</row>
    <row r="48" spans="1:29" s="2" customFormat="1" ht="13.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</row>
    <row r="49" spans="1:23" s="2" customFormat="1" ht="13.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</row>
    <row r="50" spans="1:23" s="2" customFormat="1" ht="13.5">
      <c r="A50" s="157" t="s">
        <v>116</v>
      </c>
      <c r="B50" s="157"/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7" t="s">
        <v>119</v>
      </c>
      <c r="N50" s="157"/>
      <c r="O50" s="157"/>
      <c r="P50" s="157"/>
      <c r="Q50" s="157"/>
      <c r="R50" s="157"/>
      <c r="S50" s="157"/>
      <c r="T50" s="157"/>
      <c r="U50" s="157"/>
      <c r="V50" s="157"/>
      <c r="W50" s="157"/>
    </row>
    <row r="51" spans="1:23" s="2" customFormat="1">
      <c r="A51" s="158"/>
      <c r="B51" s="162" t="s">
        <v>118</v>
      </c>
      <c r="C51" s="163"/>
      <c r="D51" s="163"/>
      <c r="E51" s="163"/>
      <c r="F51" s="164"/>
      <c r="G51" s="162" t="s">
        <v>120</v>
      </c>
      <c r="H51" s="163"/>
      <c r="I51" s="163"/>
      <c r="J51" s="163"/>
      <c r="K51" s="163"/>
      <c r="L51" s="164"/>
      <c r="M51" s="162" t="s">
        <v>118</v>
      </c>
      <c r="N51" s="163"/>
      <c r="O51" s="163"/>
      <c r="P51" s="163"/>
      <c r="Q51" s="164"/>
      <c r="R51" s="162" t="s">
        <v>117</v>
      </c>
      <c r="S51" s="163"/>
      <c r="T51" s="163"/>
      <c r="U51" s="163"/>
      <c r="V51" s="163"/>
      <c r="W51" s="164"/>
    </row>
    <row r="52" spans="1:23" s="2" customFormat="1" ht="13.5">
      <c r="A52" s="29">
        <v>1</v>
      </c>
      <c r="B52" s="159" t="str">
        <f>IF(AND(COUNTA($G$7:$G$37) = 1, LOWER($G7)="y"),"ALTER TABLE " &amp; $F$4 &amp; " ADD CONSTRAINT " &amp; LOWER("pk_" &amp; $F$4 &amp;"_" &amp; $B7)&amp; " PRIMARY KEY( " &amp; $B7 &amp; ");","")</f>
        <v/>
      </c>
      <c r="C52" s="160"/>
      <c r="D52" s="160"/>
      <c r="E52" s="160"/>
      <c r="F52" s="161"/>
      <c r="G52" s="159" t="str">
        <f>IF($H7&lt;&gt;"","ALTER TABLE " &amp; $F$4 &amp; " ADD CONSTRAINT fk_" &amp; LOWER($H7 &amp; "_" &amp; $F$4 &amp; "_" &amp; $B7) &amp; "  FOREIGN KEY(" &amp; $B7 &amp; " ) REFERENCES " &amp; $H7&amp; "(" &amp; $B7 &amp; ");","")</f>
        <v>ALTER TABLE PLISTBYMACHINE ADD CONSTRAINT fk_machine_plistbymachine_machineid  FOREIGN KEY(MachineID ) REFERENCES Machine(MachineID);</v>
      </c>
      <c r="H52" s="160"/>
      <c r="I52" s="160"/>
      <c r="J52" s="160"/>
      <c r="K52" s="160"/>
      <c r="L52" s="161"/>
      <c r="M52" s="159" t="str">
        <f>IF(B52 &lt;&gt; "", IF(AND(COUNTA($G$7:$G$37) = 1, LOWER($G7)="y"),"ALTER TABLE " &amp; $F$4 &amp; " DROP PRIMARY KEY;",""), "")</f>
        <v/>
      </c>
      <c r="N52" s="160"/>
      <c r="O52" s="160"/>
      <c r="P52" s="160"/>
      <c r="Q52" s="161"/>
      <c r="R52" s="159" t="str">
        <f>IF($H7&lt;&gt;"","ALTER TABLE " &amp; $F$4 &amp; " DROP FOREIGN KEY  `fk_" &amp; LOWER($H7 &amp; "_" &amp; $F$4 &amp; "_" &amp; $B7) &amp; "`;","")</f>
        <v>ALTER TABLE PLISTBYMACHINE DROP FOREIGN KEY  `fk_machine_plistbymachine_machineid`;</v>
      </c>
      <c r="S52" s="160"/>
      <c r="T52" s="160"/>
      <c r="U52" s="160"/>
      <c r="V52" s="160"/>
      <c r="W52" s="161"/>
    </row>
    <row r="53" spans="1:23" s="2" customFormat="1" ht="13.5">
      <c r="A53" s="29">
        <v>2</v>
      </c>
      <c r="B53" s="159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60"/>
      <c r="D53" s="160"/>
      <c r="E53" s="160"/>
      <c r="F53" s="161"/>
      <c r="G53" s="159" t="str">
        <f>IF($H8&lt;&gt;"","ALTER TABLE " &amp; $F$4 &amp; " ADD CONSTRAINT fk_" &amp; LOWER($H8 &amp; "_" &amp; $F$4 &amp; "_" &amp; $B8) &amp; "  FOREIGN KEY(" &amp; $B8 &amp; " ) REFERENCES " &amp; $H8&amp; "(" &amp; $B8 &amp; ");","")</f>
        <v>ALTER TABLE PLISTBYMACHINE ADD CONSTRAINT fk_production_plistbymachine_productionid  FOREIGN KEY(ProductionID ) REFERENCES Production(ProductionID);</v>
      </c>
      <c r="H53" s="160"/>
      <c r="I53" s="160"/>
      <c r="J53" s="160"/>
      <c r="K53" s="160"/>
      <c r="L53" s="161"/>
      <c r="M53" s="159" t="str">
        <f t="shared" ref="M53:M82" si="4">IF(B53 &lt;&gt; "", IF(AND(COUNTA($G$7:$G$37) = 1, LOWER($G8)="y"),"ALTER TABLE " &amp; $F$4 &amp; " DROP PRIMARY KEY;",""), "")</f>
        <v/>
      </c>
      <c r="N53" s="160"/>
      <c r="O53" s="160"/>
      <c r="P53" s="160"/>
      <c r="Q53" s="161"/>
      <c r="R53" s="159" t="str">
        <f>IF($H8&lt;&gt;"","ALTER TABLE " &amp; $F$4 &amp; " DROP FOREIGN KEY  `fk_" &amp; LOWER($H8 &amp; "_" &amp; $F$4 &amp; "_" &amp; $B8) &amp; "`;","")</f>
        <v>ALTER TABLE PLISTBYMACHINE DROP FOREIGN KEY  `fk_production_plistbymachine_productionid`;</v>
      </c>
      <c r="S53" s="160"/>
      <c r="T53" s="160"/>
      <c r="U53" s="160"/>
      <c r="V53" s="160"/>
      <c r="W53" s="161"/>
    </row>
    <row r="54" spans="1:23" s="2" customFormat="1" ht="13.5">
      <c r="A54" s="29">
        <v>3</v>
      </c>
      <c r="B54" s="159" t="str">
        <f t="shared" si="3"/>
        <v/>
      </c>
      <c r="C54" s="160"/>
      <c r="D54" s="160"/>
      <c r="E54" s="160"/>
      <c r="F54" s="161"/>
      <c r="G54" s="159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/>
      </c>
      <c r="H54" s="160"/>
      <c r="I54" s="160"/>
      <c r="J54" s="160"/>
      <c r="K54" s="160"/>
      <c r="L54" s="161"/>
      <c r="M54" s="159" t="str">
        <f t="shared" si="4"/>
        <v/>
      </c>
      <c r="N54" s="160"/>
      <c r="O54" s="160"/>
      <c r="P54" s="160"/>
      <c r="Q54" s="161"/>
      <c r="R54" s="159" t="str">
        <f t="shared" ref="R54:R82" si="6">IF($H9&lt;&gt;"","ALTER TABLE " &amp; $F$4 &amp; " DROP FOREIGN KEY  `fk_" &amp; LOWER($H9 &amp; "_" &amp; $F$4 &amp; "_" &amp; $B9) &amp; "`;","")</f>
        <v/>
      </c>
      <c r="S54" s="160"/>
      <c r="T54" s="160"/>
      <c r="U54" s="160"/>
      <c r="V54" s="160"/>
      <c r="W54" s="161"/>
    </row>
    <row r="55" spans="1:23" s="2" customFormat="1" ht="13.5">
      <c r="A55" s="29">
        <v>4</v>
      </c>
      <c r="B55" s="159" t="str">
        <f t="shared" si="3"/>
        <v/>
      </c>
      <c r="C55" s="160"/>
      <c r="D55" s="160"/>
      <c r="E55" s="160"/>
      <c r="F55" s="161"/>
      <c r="G55" s="159" t="str">
        <f t="shared" si="5"/>
        <v/>
      </c>
      <c r="H55" s="160"/>
      <c r="I55" s="160"/>
      <c r="J55" s="160"/>
      <c r="K55" s="160"/>
      <c r="L55" s="161"/>
      <c r="M55" s="159" t="str">
        <f t="shared" si="4"/>
        <v/>
      </c>
      <c r="N55" s="160"/>
      <c r="O55" s="160"/>
      <c r="P55" s="160"/>
      <c r="Q55" s="161"/>
      <c r="R55" s="159" t="str">
        <f t="shared" si="6"/>
        <v/>
      </c>
      <c r="S55" s="160"/>
      <c r="T55" s="160"/>
      <c r="U55" s="160"/>
      <c r="V55" s="160"/>
      <c r="W55" s="161"/>
    </row>
    <row r="56" spans="1:23" s="2" customFormat="1" ht="13.5">
      <c r="A56" s="29">
        <v>5</v>
      </c>
      <c r="B56" s="159" t="str">
        <f t="shared" si="3"/>
        <v/>
      </c>
      <c r="C56" s="160"/>
      <c r="D56" s="160"/>
      <c r="E56" s="160"/>
      <c r="F56" s="161"/>
      <c r="G56" s="159" t="str">
        <f t="shared" si="5"/>
        <v/>
      </c>
      <c r="H56" s="160"/>
      <c r="I56" s="160"/>
      <c r="J56" s="160"/>
      <c r="K56" s="160"/>
      <c r="L56" s="161"/>
      <c r="M56" s="159" t="str">
        <f t="shared" si="4"/>
        <v/>
      </c>
      <c r="N56" s="160"/>
      <c r="O56" s="160"/>
      <c r="P56" s="160"/>
      <c r="Q56" s="161"/>
      <c r="R56" s="159" t="str">
        <f t="shared" si="6"/>
        <v/>
      </c>
      <c r="S56" s="160"/>
      <c r="T56" s="160"/>
      <c r="U56" s="160"/>
      <c r="V56" s="160"/>
      <c r="W56" s="161"/>
    </row>
    <row r="57" spans="1:23" s="2" customFormat="1" ht="13.5">
      <c r="A57" s="29">
        <v>6</v>
      </c>
      <c r="B57" s="159" t="str">
        <f t="shared" si="3"/>
        <v/>
      </c>
      <c r="C57" s="160"/>
      <c r="D57" s="160"/>
      <c r="E57" s="160"/>
      <c r="F57" s="161"/>
      <c r="G57" s="159" t="str">
        <f t="shared" si="5"/>
        <v/>
      </c>
      <c r="H57" s="160"/>
      <c r="I57" s="160"/>
      <c r="J57" s="160"/>
      <c r="K57" s="160"/>
      <c r="L57" s="161"/>
      <c r="M57" s="159" t="str">
        <f t="shared" si="4"/>
        <v/>
      </c>
      <c r="N57" s="160"/>
      <c r="O57" s="160"/>
      <c r="P57" s="160"/>
      <c r="Q57" s="161"/>
      <c r="R57" s="159" t="str">
        <f t="shared" si="6"/>
        <v/>
      </c>
      <c r="S57" s="160"/>
      <c r="T57" s="160"/>
      <c r="U57" s="160"/>
      <c r="V57" s="160"/>
      <c r="W57" s="161"/>
    </row>
    <row r="58" spans="1:23">
      <c r="A58" s="29">
        <v>7</v>
      </c>
      <c r="B58" s="159" t="str">
        <f t="shared" si="3"/>
        <v/>
      </c>
      <c r="C58" s="160"/>
      <c r="D58" s="160"/>
      <c r="E58" s="160"/>
      <c r="F58" s="161"/>
      <c r="G58" s="159" t="str">
        <f t="shared" si="5"/>
        <v/>
      </c>
      <c r="H58" s="160"/>
      <c r="I58" s="160"/>
      <c r="J58" s="160"/>
      <c r="K58" s="160"/>
      <c r="L58" s="161"/>
      <c r="M58" s="159" t="str">
        <f t="shared" si="4"/>
        <v/>
      </c>
      <c r="N58" s="160"/>
      <c r="O58" s="160"/>
      <c r="P58" s="160"/>
      <c r="Q58" s="161"/>
      <c r="R58" s="159" t="str">
        <f t="shared" si="6"/>
        <v/>
      </c>
      <c r="S58" s="160"/>
      <c r="T58" s="160"/>
      <c r="U58" s="160"/>
      <c r="V58" s="160"/>
      <c r="W58" s="161"/>
    </row>
    <row r="59" spans="1:23">
      <c r="A59" s="29">
        <v>8</v>
      </c>
      <c r="B59" s="159" t="str">
        <f t="shared" si="3"/>
        <v/>
      </c>
      <c r="C59" s="160"/>
      <c r="D59" s="160"/>
      <c r="E59" s="160"/>
      <c r="F59" s="161"/>
      <c r="G59" s="159" t="str">
        <f t="shared" si="5"/>
        <v/>
      </c>
      <c r="H59" s="160"/>
      <c r="I59" s="160"/>
      <c r="J59" s="160"/>
      <c r="K59" s="160"/>
      <c r="L59" s="161"/>
      <c r="M59" s="159" t="str">
        <f t="shared" si="4"/>
        <v/>
      </c>
      <c r="N59" s="160"/>
      <c r="O59" s="160"/>
      <c r="P59" s="160"/>
      <c r="Q59" s="161"/>
      <c r="R59" s="159" t="str">
        <f t="shared" si="6"/>
        <v/>
      </c>
      <c r="S59" s="160"/>
      <c r="T59" s="160"/>
      <c r="U59" s="160"/>
      <c r="V59" s="160"/>
      <c r="W59" s="161"/>
    </row>
    <row r="60" spans="1:23">
      <c r="A60" s="29">
        <v>9</v>
      </c>
      <c r="B60" s="159" t="str">
        <f t="shared" si="3"/>
        <v/>
      </c>
      <c r="C60" s="160"/>
      <c r="D60" s="160"/>
      <c r="E60" s="160"/>
      <c r="F60" s="161"/>
      <c r="G60" s="159" t="str">
        <f t="shared" si="5"/>
        <v/>
      </c>
      <c r="H60" s="160"/>
      <c r="I60" s="160"/>
      <c r="J60" s="160"/>
      <c r="K60" s="160"/>
      <c r="L60" s="161"/>
      <c r="M60" s="159" t="str">
        <f t="shared" si="4"/>
        <v/>
      </c>
      <c r="N60" s="160"/>
      <c r="O60" s="160"/>
      <c r="P60" s="160"/>
      <c r="Q60" s="161"/>
      <c r="R60" s="159" t="str">
        <f t="shared" si="6"/>
        <v/>
      </c>
      <c r="S60" s="160"/>
      <c r="T60" s="160"/>
      <c r="U60" s="160"/>
      <c r="V60" s="160"/>
      <c r="W60" s="161"/>
    </row>
    <row r="61" spans="1:23">
      <c r="A61" s="29">
        <v>10</v>
      </c>
      <c r="B61" s="159" t="str">
        <f t="shared" si="3"/>
        <v/>
      </c>
      <c r="C61" s="160"/>
      <c r="D61" s="160"/>
      <c r="E61" s="160"/>
      <c r="F61" s="161"/>
      <c r="G61" s="159" t="str">
        <f t="shared" si="5"/>
        <v/>
      </c>
      <c r="H61" s="160"/>
      <c r="I61" s="160"/>
      <c r="J61" s="160"/>
      <c r="K61" s="160"/>
      <c r="L61" s="161"/>
      <c r="M61" s="159" t="str">
        <f t="shared" si="4"/>
        <v/>
      </c>
      <c r="N61" s="160"/>
      <c r="O61" s="160"/>
      <c r="P61" s="160"/>
      <c r="Q61" s="161"/>
      <c r="R61" s="159" t="str">
        <f t="shared" si="6"/>
        <v/>
      </c>
      <c r="S61" s="160"/>
      <c r="T61" s="160"/>
      <c r="U61" s="160"/>
      <c r="V61" s="160"/>
      <c r="W61" s="161"/>
    </row>
    <row r="62" spans="1:23">
      <c r="A62" s="29">
        <v>11</v>
      </c>
      <c r="B62" s="159" t="str">
        <f t="shared" si="3"/>
        <v/>
      </c>
      <c r="C62" s="160"/>
      <c r="D62" s="160"/>
      <c r="E62" s="160"/>
      <c r="F62" s="161"/>
      <c r="G62" s="159" t="str">
        <f t="shared" si="5"/>
        <v/>
      </c>
      <c r="H62" s="160"/>
      <c r="I62" s="160"/>
      <c r="J62" s="160"/>
      <c r="K62" s="160"/>
      <c r="L62" s="161"/>
      <c r="M62" s="159" t="str">
        <f t="shared" si="4"/>
        <v/>
      </c>
      <c r="N62" s="160"/>
      <c r="O62" s="160"/>
      <c r="P62" s="160"/>
      <c r="Q62" s="161"/>
      <c r="R62" s="159" t="str">
        <f t="shared" si="6"/>
        <v/>
      </c>
      <c r="S62" s="160"/>
      <c r="T62" s="160"/>
      <c r="U62" s="160"/>
      <c r="V62" s="160"/>
      <c r="W62" s="161"/>
    </row>
    <row r="63" spans="1:23">
      <c r="A63" s="29">
        <v>12</v>
      </c>
      <c r="B63" s="159" t="str">
        <f t="shared" si="3"/>
        <v/>
      </c>
      <c r="C63" s="160"/>
      <c r="D63" s="160"/>
      <c r="E63" s="160"/>
      <c r="F63" s="161"/>
      <c r="G63" s="159" t="str">
        <f t="shared" si="5"/>
        <v/>
      </c>
      <c r="H63" s="160"/>
      <c r="I63" s="160"/>
      <c r="J63" s="160"/>
      <c r="K63" s="160"/>
      <c r="L63" s="161"/>
      <c r="M63" s="159" t="str">
        <f t="shared" si="4"/>
        <v/>
      </c>
      <c r="N63" s="160"/>
      <c r="O63" s="160"/>
      <c r="P63" s="160"/>
      <c r="Q63" s="161"/>
      <c r="R63" s="159" t="str">
        <f t="shared" si="6"/>
        <v/>
      </c>
      <c r="S63" s="160"/>
      <c r="T63" s="160"/>
      <c r="U63" s="160"/>
      <c r="V63" s="160"/>
      <c r="W63" s="161"/>
    </row>
    <row r="64" spans="1:23">
      <c r="A64" s="29">
        <v>13</v>
      </c>
      <c r="B64" s="159" t="str">
        <f t="shared" si="3"/>
        <v/>
      </c>
      <c r="C64" s="160"/>
      <c r="D64" s="160"/>
      <c r="E64" s="160"/>
      <c r="F64" s="161"/>
      <c r="G64" s="159" t="str">
        <f t="shared" si="5"/>
        <v/>
      </c>
      <c r="H64" s="160"/>
      <c r="I64" s="160"/>
      <c r="J64" s="160"/>
      <c r="K64" s="160"/>
      <c r="L64" s="161"/>
      <c r="M64" s="159" t="str">
        <f t="shared" si="4"/>
        <v/>
      </c>
      <c r="N64" s="160"/>
      <c r="O64" s="160"/>
      <c r="P64" s="160"/>
      <c r="Q64" s="161"/>
      <c r="R64" s="159" t="str">
        <f t="shared" si="6"/>
        <v/>
      </c>
      <c r="S64" s="160"/>
      <c r="T64" s="160"/>
      <c r="U64" s="160"/>
      <c r="V64" s="160"/>
      <c r="W64" s="161"/>
    </row>
    <row r="65" spans="1:23">
      <c r="A65" s="29">
        <v>14</v>
      </c>
      <c r="B65" s="159" t="str">
        <f t="shared" si="3"/>
        <v/>
      </c>
      <c r="C65" s="160"/>
      <c r="D65" s="160"/>
      <c r="E65" s="160"/>
      <c r="F65" s="161"/>
      <c r="G65" s="159" t="str">
        <f t="shared" si="5"/>
        <v/>
      </c>
      <c r="H65" s="160"/>
      <c r="I65" s="160"/>
      <c r="J65" s="160"/>
      <c r="K65" s="160"/>
      <c r="L65" s="161"/>
      <c r="M65" s="159" t="str">
        <f t="shared" si="4"/>
        <v/>
      </c>
      <c r="N65" s="160"/>
      <c r="O65" s="160"/>
      <c r="P65" s="160"/>
      <c r="Q65" s="161"/>
      <c r="R65" s="159" t="str">
        <f t="shared" si="6"/>
        <v/>
      </c>
      <c r="S65" s="160"/>
      <c r="T65" s="160"/>
      <c r="U65" s="160"/>
      <c r="V65" s="160"/>
      <c r="W65" s="161"/>
    </row>
    <row r="66" spans="1:23">
      <c r="A66" s="29">
        <v>15</v>
      </c>
      <c r="B66" s="159" t="str">
        <f t="shared" si="3"/>
        <v/>
      </c>
      <c r="C66" s="160"/>
      <c r="D66" s="160"/>
      <c r="E66" s="160"/>
      <c r="F66" s="161"/>
      <c r="G66" s="159" t="str">
        <f t="shared" si="5"/>
        <v/>
      </c>
      <c r="H66" s="160"/>
      <c r="I66" s="160"/>
      <c r="J66" s="160"/>
      <c r="K66" s="160"/>
      <c r="L66" s="161"/>
      <c r="M66" s="159" t="str">
        <f t="shared" si="4"/>
        <v/>
      </c>
      <c r="N66" s="160"/>
      <c r="O66" s="160"/>
      <c r="P66" s="160"/>
      <c r="Q66" s="161"/>
      <c r="R66" s="159" t="str">
        <f t="shared" si="6"/>
        <v/>
      </c>
      <c r="S66" s="160"/>
      <c r="T66" s="160"/>
      <c r="U66" s="160"/>
      <c r="V66" s="160"/>
      <c r="W66" s="161"/>
    </row>
    <row r="67" spans="1:23">
      <c r="A67" s="29">
        <v>16</v>
      </c>
      <c r="B67" s="159" t="str">
        <f t="shared" si="3"/>
        <v/>
      </c>
      <c r="C67" s="160"/>
      <c r="D67" s="160"/>
      <c r="E67" s="160"/>
      <c r="F67" s="161"/>
      <c r="G67" s="159" t="str">
        <f t="shared" si="5"/>
        <v/>
      </c>
      <c r="H67" s="160"/>
      <c r="I67" s="160"/>
      <c r="J67" s="160"/>
      <c r="K67" s="160"/>
      <c r="L67" s="161"/>
      <c r="M67" s="159" t="str">
        <f t="shared" si="4"/>
        <v/>
      </c>
      <c r="N67" s="160"/>
      <c r="O67" s="160"/>
      <c r="P67" s="160"/>
      <c r="Q67" s="161"/>
      <c r="R67" s="159" t="str">
        <f t="shared" si="6"/>
        <v/>
      </c>
      <c r="S67" s="160"/>
      <c r="T67" s="160"/>
      <c r="U67" s="160"/>
      <c r="V67" s="160"/>
      <c r="W67" s="161"/>
    </row>
    <row r="68" spans="1:23">
      <c r="A68" s="29">
        <v>17</v>
      </c>
      <c r="B68" s="159" t="str">
        <f t="shared" si="3"/>
        <v/>
      </c>
      <c r="C68" s="160"/>
      <c r="D68" s="160"/>
      <c r="E68" s="160"/>
      <c r="F68" s="161"/>
      <c r="G68" s="159" t="str">
        <f t="shared" si="5"/>
        <v/>
      </c>
      <c r="H68" s="160"/>
      <c r="I68" s="160"/>
      <c r="J68" s="160"/>
      <c r="K68" s="160"/>
      <c r="L68" s="161"/>
      <c r="M68" s="159" t="str">
        <f t="shared" si="4"/>
        <v/>
      </c>
      <c r="N68" s="160"/>
      <c r="O68" s="160"/>
      <c r="P68" s="160"/>
      <c r="Q68" s="161"/>
      <c r="R68" s="159" t="str">
        <f t="shared" si="6"/>
        <v/>
      </c>
      <c r="S68" s="160"/>
      <c r="T68" s="160"/>
      <c r="U68" s="160"/>
      <c r="V68" s="160"/>
      <c r="W68" s="161"/>
    </row>
    <row r="69" spans="1:23">
      <c r="A69" s="29">
        <v>18</v>
      </c>
      <c r="B69" s="159" t="str">
        <f t="shared" si="3"/>
        <v/>
      </c>
      <c r="C69" s="160"/>
      <c r="D69" s="160"/>
      <c r="E69" s="160"/>
      <c r="F69" s="161"/>
      <c r="G69" s="159" t="str">
        <f t="shared" si="5"/>
        <v/>
      </c>
      <c r="H69" s="160"/>
      <c r="I69" s="160"/>
      <c r="J69" s="160"/>
      <c r="K69" s="160"/>
      <c r="L69" s="161"/>
      <c r="M69" s="159" t="str">
        <f t="shared" si="4"/>
        <v/>
      </c>
      <c r="N69" s="160"/>
      <c r="O69" s="160"/>
      <c r="P69" s="160"/>
      <c r="Q69" s="161"/>
      <c r="R69" s="159" t="str">
        <f t="shared" si="6"/>
        <v/>
      </c>
      <c r="S69" s="160"/>
      <c r="T69" s="160"/>
      <c r="U69" s="160"/>
      <c r="V69" s="160"/>
      <c r="W69" s="161"/>
    </row>
    <row r="70" spans="1:23">
      <c r="A70" s="29">
        <v>19</v>
      </c>
      <c r="B70" s="159" t="str">
        <f t="shared" si="3"/>
        <v/>
      </c>
      <c r="C70" s="160"/>
      <c r="D70" s="160"/>
      <c r="E70" s="160"/>
      <c r="F70" s="161"/>
      <c r="G70" s="159" t="str">
        <f t="shared" si="5"/>
        <v/>
      </c>
      <c r="H70" s="160"/>
      <c r="I70" s="160"/>
      <c r="J70" s="160"/>
      <c r="K70" s="160"/>
      <c r="L70" s="161"/>
      <c r="M70" s="159" t="str">
        <f t="shared" si="4"/>
        <v/>
      </c>
      <c r="N70" s="160"/>
      <c r="O70" s="160"/>
      <c r="P70" s="160"/>
      <c r="Q70" s="161"/>
      <c r="R70" s="159" t="str">
        <f t="shared" si="6"/>
        <v/>
      </c>
      <c r="S70" s="160"/>
      <c r="T70" s="160"/>
      <c r="U70" s="160"/>
      <c r="V70" s="160"/>
      <c r="W70" s="161"/>
    </row>
    <row r="71" spans="1:23">
      <c r="A71" s="29">
        <v>20</v>
      </c>
      <c r="B71" s="159" t="str">
        <f t="shared" si="3"/>
        <v/>
      </c>
      <c r="C71" s="160"/>
      <c r="D71" s="160"/>
      <c r="E71" s="160"/>
      <c r="F71" s="161"/>
      <c r="G71" s="159" t="str">
        <f t="shared" si="5"/>
        <v/>
      </c>
      <c r="H71" s="160"/>
      <c r="I71" s="160"/>
      <c r="J71" s="160"/>
      <c r="K71" s="160"/>
      <c r="L71" s="161"/>
      <c r="M71" s="159" t="str">
        <f t="shared" si="4"/>
        <v/>
      </c>
      <c r="N71" s="160"/>
      <c r="O71" s="160"/>
      <c r="P71" s="160"/>
      <c r="Q71" s="161"/>
      <c r="R71" s="159" t="str">
        <f t="shared" si="6"/>
        <v/>
      </c>
      <c r="S71" s="160"/>
      <c r="T71" s="160"/>
      <c r="U71" s="160"/>
      <c r="V71" s="160"/>
      <c r="W71" s="161"/>
    </row>
    <row r="72" spans="1:23">
      <c r="A72" s="29">
        <v>21</v>
      </c>
      <c r="B72" s="159" t="str">
        <f t="shared" si="3"/>
        <v/>
      </c>
      <c r="C72" s="160"/>
      <c r="D72" s="160"/>
      <c r="E72" s="160"/>
      <c r="F72" s="161"/>
      <c r="G72" s="159" t="str">
        <f t="shared" si="5"/>
        <v/>
      </c>
      <c r="H72" s="160"/>
      <c r="I72" s="160"/>
      <c r="J72" s="160"/>
      <c r="K72" s="160"/>
      <c r="L72" s="161"/>
      <c r="M72" s="159" t="str">
        <f t="shared" si="4"/>
        <v/>
      </c>
      <c r="N72" s="160"/>
      <c r="O72" s="160"/>
      <c r="P72" s="160"/>
      <c r="Q72" s="161"/>
      <c r="R72" s="159" t="str">
        <f t="shared" si="6"/>
        <v/>
      </c>
      <c r="S72" s="160"/>
      <c r="T72" s="160"/>
      <c r="U72" s="160"/>
      <c r="V72" s="160"/>
      <c r="W72" s="161"/>
    </row>
    <row r="73" spans="1:23">
      <c r="A73" s="29">
        <v>22</v>
      </c>
      <c r="B73" s="159" t="str">
        <f t="shared" si="3"/>
        <v/>
      </c>
      <c r="C73" s="160"/>
      <c r="D73" s="160"/>
      <c r="E73" s="160"/>
      <c r="F73" s="161"/>
      <c r="G73" s="159" t="str">
        <f t="shared" si="5"/>
        <v/>
      </c>
      <c r="H73" s="160"/>
      <c r="I73" s="160"/>
      <c r="J73" s="160"/>
      <c r="K73" s="160"/>
      <c r="L73" s="161"/>
      <c r="M73" s="159" t="str">
        <f t="shared" si="4"/>
        <v/>
      </c>
      <c r="N73" s="160"/>
      <c r="O73" s="160"/>
      <c r="P73" s="160"/>
      <c r="Q73" s="161"/>
      <c r="R73" s="159" t="str">
        <f t="shared" si="6"/>
        <v/>
      </c>
      <c r="S73" s="160"/>
      <c r="T73" s="160"/>
      <c r="U73" s="160"/>
      <c r="V73" s="160"/>
      <c r="W73" s="161"/>
    </row>
    <row r="74" spans="1:23">
      <c r="A74" s="29">
        <v>23</v>
      </c>
      <c r="B74" s="159" t="str">
        <f t="shared" si="3"/>
        <v/>
      </c>
      <c r="C74" s="160"/>
      <c r="D74" s="160"/>
      <c r="E74" s="160"/>
      <c r="F74" s="161"/>
      <c r="G74" s="159" t="str">
        <f t="shared" si="5"/>
        <v/>
      </c>
      <c r="H74" s="160"/>
      <c r="I74" s="160"/>
      <c r="J74" s="160"/>
      <c r="K74" s="160"/>
      <c r="L74" s="161"/>
      <c r="M74" s="159" t="str">
        <f t="shared" si="4"/>
        <v/>
      </c>
      <c r="N74" s="160"/>
      <c r="O74" s="160"/>
      <c r="P74" s="160"/>
      <c r="Q74" s="161"/>
      <c r="R74" s="159" t="str">
        <f t="shared" si="6"/>
        <v/>
      </c>
      <c r="S74" s="160"/>
      <c r="T74" s="160"/>
      <c r="U74" s="160"/>
      <c r="V74" s="160"/>
      <c r="W74" s="161"/>
    </row>
    <row r="75" spans="1:23">
      <c r="A75" s="29">
        <v>24</v>
      </c>
      <c r="B75" s="159" t="str">
        <f t="shared" si="3"/>
        <v/>
      </c>
      <c r="C75" s="160"/>
      <c r="D75" s="160"/>
      <c r="E75" s="160"/>
      <c r="F75" s="161"/>
      <c r="G75" s="159" t="str">
        <f t="shared" si="5"/>
        <v/>
      </c>
      <c r="H75" s="160"/>
      <c r="I75" s="160"/>
      <c r="J75" s="160"/>
      <c r="K75" s="160"/>
      <c r="L75" s="161"/>
      <c r="M75" s="159" t="str">
        <f t="shared" si="4"/>
        <v/>
      </c>
      <c r="N75" s="160"/>
      <c r="O75" s="160"/>
      <c r="P75" s="160"/>
      <c r="Q75" s="161"/>
      <c r="R75" s="159" t="str">
        <f t="shared" si="6"/>
        <v/>
      </c>
      <c r="S75" s="160"/>
      <c r="T75" s="160"/>
      <c r="U75" s="160"/>
      <c r="V75" s="160"/>
      <c r="W75" s="161"/>
    </row>
    <row r="76" spans="1:23">
      <c r="A76" s="29">
        <v>25</v>
      </c>
      <c r="B76" s="159" t="str">
        <f t="shared" si="3"/>
        <v/>
      </c>
      <c r="C76" s="160"/>
      <c r="D76" s="160"/>
      <c r="E76" s="160"/>
      <c r="F76" s="161"/>
      <c r="G76" s="159" t="str">
        <f t="shared" si="5"/>
        <v/>
      </c>
      <c r="H76" s="160"/>
      <c r="I76" s="160"/>
      <c r="J76" s="160"/>
      <c r="K76" s="160"/>
      <c r="L76" s="161"/>
      <c r="M76" s="159" t="str">
        <f t="shared" si="4"/>
        <v/>
      </c>
      <c r="N76" s="160"/>
      <c r="O76" s="160"/>
      <c r="P76" s="160"/>
      <c r="Q76" s="161"/>
      <c r="R76" s="159" t="str">
        <f t="shared" si="6"/>
        <v/>
      </c>
      <c r="S76" s="160"/>
      <c r="T76" s="160"/>
      <c r="U76" s="160"/>
      <c r="V76" s="160"/>
      <c r="W76" s="161"/>
    </row>
    <row r="77" spans="1:23">
      <c r="A77" s="29">
        <v>26</v>
      </c>
      <c r="B77" s="159" t="str">
        <f t="shared" si="3"/>
        <v/>
      </c>
      <c r="C77" s="160"/>
      <c r="D77" s="160"/>
      <c r="E77" s="160"/>
      <c r="F77" s="161"/>
      <c r="G77" s="159" t="str">
        <f t="shared" si="5"/>
        <v/>
      </c>
      <c r="H77" s="160"/>
      <c r="I77" s="160"/>
      <c r="J77" s="160"/>
      <c r="K77" s="160"/>
      <c r="L77" s="161"/>
      <c r="M77" s="159" t="str">
        <f t="shared" si="4"/>
        <v/>
      </c>
      <c r="N77" s="160"/>
      <c r="O77" s="160"/>
      <c r="P77" s="160"/>
      <c r="Q77" s="161"/>
      <c r="R77" s="159" t="str">
        <f t="shared" si="6"/>
        <v/>
      </c>
      <c r="S77" s="160"/>
      <c r="T77" s="160"/>
      <c r="U77" s="160"/>
      <c r="V77" s="160"/>
      <c r="W77" s="161"/>
    </row>
    <row r="78" spans="1:23">
      <c r="A78" s="29">
        <v>27</v>
      </c>
      <c r="B78" s="159" t="str">
        <f t="shared" si="3"/>
        <v/>
      </c>
      <c r="C78" s="160"/>
      <c r="D78" s="160"/>
      <c r="E78" s="160"/>
      <c r="F78" s="161"/>
      <c r="G78" s="159" t="str">
        <f t="shared" si="5"/>
        <v/>
      </c>
      <c r="H78" s="160"/>
      <c r="I78" s="160"/>
      <c r="J78" s="160"/>
      <c r="K78" s="160"/>
      <c r="L78" s="161"/>
      <c r="M78" s="159" t="str">
        <f t="shared" si="4"/>
        <v/>
      </c>
      <c r="N78" s="160"/>
      <c r="O78" s="160"/>
      <c r="P78" s="160"/>
      <c r="Q78" s="161"/>
      <c r="R78" s="159" t="str">
        <f t="shared" si="6"/>
        <v/>
      </c>
      <c r="S78" s="160"/>
      <c r="T78" s="160"/>
      <c r="U78" s="160"/>
      <c r="V78" s="160"/>
      <c r="W78" s="161"/>
    </row>
    <row r="79" spans="1:23">
      <c r="A79" s="29">
        <v>28</v>
      </c>
      <c r="B79" s="159" t="str">
        <f t="shared" si="3"/>
        <v/>
      </c>
      <c r="C79" s="160"/>
      <c r="D79" s="160"/>
      <c r="E79" s="160"/>
      <c r="F79" s="161"/>
      <c r="G79" s="159" t="str">
        <f t="shared" si="5"/>
        <v/>
      </c>
      <c r="H79" s="160"/>
      <c r="I79" s="160"/>
      <c r="J79" s="160"/>
      <c r="K79" s="160"/>
      <c r="L79" s="161"/>
      <c r="M79" s="159" t="str">
        <f t="shared" si="4"/>
        <v/>
      </c>
      <c r="N79" s="160"/>
      <c r="O79" s="160"/>
      <c r="P79" s="160"/>
      <c r="Q79" s="161"/>
      <c r="R79" s="159" t="str">
        <f t="shared" si="6"/>
        <v/>
      </c>
      <c r="S79" s="160"/>
      <c r="T79" s="160"/>
      <c r="U79" s="160"/>
      <c r="V79" s="160"/>
      <c r="W79" s="161"/>
    </row>
    <row r="80" spans="1:23">
      <c r="A80" s="29">
        <v>29</v>
      </c>
      <c r="B80" s="159" t="str">
        <f t="shared" si="3"/>
        <v/>
      </c>
      <c r="C80" s="160"/>
      <c r="D80" s="160"/>
      <c r="E80" s="160"/>
      <c r="F80" s="161"/>
      <c r="G80" s="159" t="str">
        <f t="shared" si="5"/>
        <v/>
      </c>
      <c r="H80" s="160"/>
      <c r="I80" s="160"/>
      <c r="J80" s="160"/>
      <c r="K80" s="160"/>
      <c r="L80" s="161"/>
      <c r="M80" s="159" t="str">
        <f t="shared" si="4"/>
        <v/>
      </c>
      <c r="N80" s="160"/>
      <c r="O80" s="160"/>
      <c r="P80" s="160"/>
      <c r="Q80" s="161"/>
      <c r="R80" s="159" t="str">
        <f t="shared" si="6"/>
        <v/>
      </c>
      <c r="S80" s="160"/>
      <c r="T80" s="160"/>
      <c r="U80" s="160"/>
      <c r="V80" s="160"/>
      <c r="W80" s="161"/>
    </row>
    <row r="81" spans="1:23">
      <c r="A81" s="29">
        <v>30</v>
      </c>
      <c r="B81" s="159" t="str">
        <f t="shared" si="3"/>
        <v/>
      </c>
      <c r="C81" s="160"/>
      <c r="D81" s="160"/>
      <c r="E81" s="160"/>
      <c r="F81" s="161"/>
      <c r="G81" s="159" t="str">
        <f t="shared" si="5"/>
        <v/>
      </c>
      <c r="H81" s="160"/>
      <c r="I81" s="160"/>
      <c r="J81" s="160"/>
      <c r="K81" s="160"/>
      <c r="L81" s="161"/>
      <c r="M81" s="159" t="str">
        <f t="shared" si="4"/>
        <v/>
      </c>
      <c r="N81" s="160"/>
      <c r="O81" s="160"/>
      <c r="P81" s="160"/>
      <c r="Q81" s="161"/>
      <c r="R81" s="159" t="str">
        <f t="shared" si="6"/>
        <v/>
      </c>
      <c r="S81" s="160"/>
      <c r="T81" s="160"/>
      <c r="U81" s="160"/>
      <c r="V81" s="160"/>
      <c r="W81" s="161"/>
    </row>
    <row r="82" spans="1:23">
      <c r="A82" s="29">
        <v>31</v>
      </c>
      <c r="B82" s="159" t="str">
        <f t="shared" si="3"/>
        <v/>
      </c>
      <c r="C82" s="160"/>
      <c r="D82" s="160"/>
      <c r="E82" s="160"/>
      <c r="F82" s="161"/>
      <c r="G82" s="159" t="str">
        <f t="shared" si="5"/>
        <v/>
      </c>
      <c r="H82" s="160"/>
      <c r="I82" s="160"/>
      <c r="J82" s="160"/>
      <c r="K82" s="160"/>
      <c r="L82" s="161"/>
      <c r="M82" s="159" t="str">
        <f t="shared" si="4"/>
        <v/>
      </c>
      <c r="N82" s="160"/>
      <c r="O82" s="160"/>
      <c r="P82" s="160"/>
      <c r="Q82" s="161"/>
      <c r="R82" s="159" t="str">
        <f t="shared" si="6"/>
        <v/>
      </c>
      <c r="S82" s="160"/>
      <c r="T82" s="160"/>
      <c r="U82" s="160"/>
      <c r="V82" s="160"/>
      <c r="W82" s="161"/>
    </row>
  </sheetData>
  <mergeCells count="190">
    <mergeCell ref="M80:Q80"/>
    <mergeCell ref="R80:W80"/>
    <mergeCell ref="M81:Q81"/>
    <mergeCell ref="R81:W81"/>
    <mergeCell ref="M82:Q82"/>
    <mergeCell ref="R82:W82"/>
    <mergeCell ref="M77:Q77"/>
    <mergeCell ref="R77:W77"/>
    <mergeCell ref="M78:Q78"/>
    <mergeCell ref="R78:W78"/>
    <mergeCell ref="M79:Q79"/>
    <mergeCell ref="R79:W79"/>
    <mergeCell ref="M74:Q74"/>
    <mergeCell ref="R74:W74"/>
    <mergeCell ref="M75:Q75"/>
    <mergeCell ref="R75:W75"/>
    <mergeCell ref="M76:Q76"/>
    <mergeCell ref="R76:W76"/>
    <mergeCell ref="M71:Q71"/>
    <mergeCell ref="R71:W71"/>
    <mergeCell ref="M72:Q72"/>
    <mergeCell ref="R72:W72"/>
    <mergeCell ref="M73:Q73"/>
    <mergeCell ref="R73:W73"/>
    <mergeCell ref="M68:Q68"/>
    <mergeCell ref="R68:W68"/>
    <mergeCell ref="M69:Q69"/>
    <mergeCell ref="R69:W69"/>
    <mergeCell ref="M70:Q70"/>
    <mergeCell ref="R70:W70"/>
    <mergeCell ref="M65:Q65"/>
    <mergeCell ref="R65:W65"/>
    <mergeCell ref="M66:Q66"/>
    <mergeCell ref="R66:W66"/>
    <mergeCell ref="M67:Q67"/>
    <mergeCell ref="R67:W67"/>
    <mergeCell ref="M62:Q62"/>
    <mergeCell ref="R62:W62"/>
    <mergeCell ref="M63:Q63"/>
    <mergeCell ref="R63:W63"/>
    <mergeCell ref="M64:Q64"/>
    <mergeCell ref="R64:W64"/>
    <mergeCell ref="M59:Q59"/>
    <mergeCell ref="R59:W59"/>
    <mergeCell ref="M60:Q60"/>
    <mergeCell ref="R60:W60"/>
    <mergeCell ref="M61:Q61"/>
    <mergeCell ref="R61:W61"/>
    <mergeCell ref="M56:Q56"/>
    <mergeCell ref="R56:W56"/>
    <mergeCell ref="M57:Q57"/>
    <mergeCell ref="R57:W57"/>
    <mergeCell ref="M58:Q58"/>
    <mergeCell ref="R58:W58"/>
    <mergeCell ref="M53:Q53"/>
    <mergeCell ref="R53:W53"/>
    <mergeCell ref="M54:Q54"/>
    <mergeCell ref="R54:W54"/>
    <mergeCell ref="M55:Q55"/>
    <mergeCell ref="R55:W55"/>
    <mergeCell ref="M50:W50"/>
    <mergeCell ref="M51:Q51"/>
    <mergeCell ref="R51:W51"/>
    <mergeCell ref="M52:Q52"/>
    <mergeCell ref="R52:W52"/>
    <mergeCell ref="B80:F80"/>
    <mergeCell ref="G80:L80"/>
    <mergeCell ref="B81:F81"/>
    <mergeCell ref="G81:L81"/>
    <mergeCell ref="B82:F82"/>
    <mergeCell ref="G82:L82"/>
    <mergeCell ref="B77:F77"/>
    <mergeCell ref="G77:L77"/>
    <mergeCell ref="B78:F78"/>
    <mergeCell ref="G78:L78"/>
    <mergeCell ref="B79:F79"/>
    <mergeCell ref="G79:L79"/>
    <mergeCell ref="B74:F74"/>
    <mergeCell ref="G74:L74"/>
    <mergeCell ref="B75:F75"/>
    <mergeCell ref="G75:L75"/>
    <mergeCell ref="B76:F76"/>
    <mergeCell ref="G76:L76"/>
    <mergeCell ref="B71:F71"/>
    <mergeCell ref="G71:L71"/>
    <mergeCell ref="B72:F72"/>
    <mergeCell ref="G72:L72"/>
    <mergeCell ref="B73:F73"/>
    <mergeCell ref="G73:L73"/>
    <mergeCell ref="B68:F68"/>
    <mergeCell ref="G68:L68"/>
    <mergeCell ref="B69:F69"/>
    <mergeCell ref="G69:L69"/>
    <mergeCell ref="B70:F70"/>
    <mergeCell ref="G70:L70"/>
    <mergeCell ref="B65:F65"/>
    <mergeCell ref="G65:L65"/>
    <mergeCell ref="B66:F66"/>
    <mergeCell ref="G66:L66"/>
    <mergeCell ref="B67:F67"/>
    <mergeCell ref="G67:L67"/>
    <mergeCell ref="B62:F62"/>
    <mergeCell ref="G62:L62"/>
    <mergeCell ref="B63:F63"/>
    <mergeCell ref="G63:L63"/>
    <mergeCell ref="B64:F64"/>
    <mergeCell ref="G64:L64"/>
    <mergeCell ref="B59:F59"/>
    <mergeCell ref="G59:L59"/>
    <mergeCell ref="B60:F60"/>
    <mergeCell ref="G60:L60"/>
    <mergeCell ref="B61:F61"/>
    <mergeCell ref="G61:L61"/>
    <mergeCell ref="B56:F56"/>
    <mergeCell ref="G56:L56"/>
    <mergeCell ref="B57:F57"/>
    <mergeCell ref="G57:L57"/>
    <mergeCell ref="B58:F58"/>
    <mergeCell ref="G58:L58"/>
    <mergeCell ref="B53:F53"/>
    <mergeCell ref="G53:L53"/>
    <mergeCell ref="B54:F54"/>
    <mergeCell ref="G54:L54"/>
    <mergeCell ref="B55:F55"/>
    <mergeCell ref="G55:L55"/>
    <mergeCell ref="A50:L50"/>
    <mergeCell ref="B51:F51"/>
    <mergeCell ref="G51:L51"/>
    <mergeCell ref="B52:F52"/>
    <mergeCell ref="G52:L52"/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4:L4"/>
    <mergeCell ref="A5:B5"/>
    <mergeCell ref="C5:D5"/>
    <mergeCell ref="E5:F5"/>
    <mergeCell ref="G5:H5"/>
    <mergeCell ref="J5:L5"/>
    <mergeCell ref="A3:B3"/>
    <mergeCell ref="C3:D3"/>
    <mergeCell ref="F3:H3"/>
    <mergeCell ref="A4:B4"/>
    <mergeCell ref="C4:D4"/>
    <mergeCell ref="F4:H4"/>
    <mergeCell ref="A1:B1"/>
    <mergeCell ref="C1:D1"/>
    <mergeCell ref="E1:E2"/>
    <mergeCell ref="F1:H2"/>
    <mergeCell ref="A2:B2"/>
    <mergeCell ref="C2:D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400050</xdr:colOff>
                    <xdr:row>0</xdr:row>
                    <xdr:rowOff>19050</xdr:rowOff>
                  </from>
                  <to>
                    <xdr:col>14</xdr:col>
                    <xdr:colOff>400050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A35CB-5460-47B2-BC4D-0153EF5946C8}">
  <sheetPr codeName="Sheet7"/>
  <dimension ref="A1:AD82"/>
  <sheetViews>
    <sheetView workbookViewId="0">
      <selection activeCell="R53" sqref="R53:W53"/>
    </sheetView>
  </sheetViews>
  <sheetFormatPr defaultRowHeight="16.5"/>
  <cols>
    <col min="1" max="1" width="6.875" customWidth="1"/>
    <col min="2" max="2" width="29.375" bestFit="1" customWidth="1"/>
    <col min="3" max="3" width="28.625" customWidth="1"/>
    <col min="4" max="4" width="6.875" customWidth="1"/>
    <col min="5" max="5" width="13.375" customWidth="1"/>
    <col min="6" max="6" width="7.125" customWidth="1"/>
    <col min="7" max="7" width="4.375" customWidth="1"/>
    <col min="8" max="8" width="15.875" customWidth="1"/>
    <col min="9" max="9" width="14.125" customWidth="1"/>
    <col min="10" max="10" width="11.875" customWidth="1"/>
    <col min="11" max="11" width="10.375" customWidth="1"/>
    <col min="12" max="12" width="10.75" customWidth="1"/>
    <col min="13" max="13" width="4.25" customWidth="1"/>
    <col min="14" max="14" width="8.75" style="18"/>
    <col min="15" max="15" width="10.5" customWidth="1"/>
  </cols>
  <sheetData>
    <row r="1" spans="1:30" ht="16.5" customHeight="1">
      <c r="A1" s="124" t="s">
        <v>1</v>
      </c>
      <c r="B1" s="125"/>
      <c r="C1" s="122" t="s">
        <v>38</v>
      </c>
      <c r="D1" s="122"/>
      <c r="E1" s="122" t="s">
        <v>19</v>
      </c>
      <c r="F1" s="141" t="s">
        <v>2</v>
      </c>
      <c r="G1" s="141"/>
      <c r="H1" s="142"/>
      <c r="I1" s="16" t="s">
        <v>3</v>
      </c>
      <c r="J1" s="6" t="s">
        <v>39</v>
      </c>
      <c r="K1" s="11" t="s">
        <v>4</v>
      </c>
      <c r="L1" s="13">
        <v>43755</v>
      </c>
      <c r="M1" s="34"/>
    </row>
    <row r="2" spans="1:30" ht="16.5" customHeight="1">
      <c r="A2" s="126" t="s">
        <v>5</v>
      </c>
      <c r="B2" s="127"/>
      <c r="C2" s="122"/>
      <c r="D2" s="122"/>
      <c r="E2" s="122"/>
      <c r="F2" s="143"/>
      <c r="G2" s="143"/>
      <c r="H2" s="144"/>
      <c r="I2" s="1" t="s">
        <v>6</v>
      </c>
      <c r="J2" s="6"/>
      <c r="K2" s="15" t="s">
        <v>7</v>
      </c>
      <c r="L2" s="13"/>
      <c r="M2" s="34"/>
    </row>
    <row r="3" spans="1:30">
      <c r="A3" s="128" t="s">
        <v>0</v>
      </c>
      <c r="B3" s="129"/>
      <c r="C3" s="139"/>
      <c r="D3" s="140"/>
      <c r="E3" s="23" t="s">
        <v>8</v>
      </c>
      <c r="F3" s="145" t="s">
        <v>29</v>
      </c>
      <c r="G3" s="145"/>
      <c r="H3" s="145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PRODUCTIONPLAN ;</v>
      </c>
    </row>
    <row r="4" spans="1:30" ht="16.5" customHeight="1">
      <c r="A4" s="122" t="s">
        <v>12</v>
      </c>
      <c r="B4" s="122"/>
      <c r="C4" s="122"/>
      <c r="D4" s="122"/>
      <c r="E4" s="6" t="s">
        <v>13</v>
      </c>
      <c r="F4" s="123" t="str">
        <f>UPPER("ProductionPlan")</f>
        <v>PRODUCTIONPLAN</v>
      </c>
      <c r="G4" s="123"/>
      <c r="H4" s="123"/>
      <c r="I4" s="58" t="s">
        <v>14</v>
      </c>
      <c r="J4" s="132" t="s">
        <v>114</v>
      </c>
      <c r="K4" s="133"/>
      <c r="L4" s="134"/>
      <c r="M4" s="36"/>
      <c r="N4" s="20"/>
      <c r="O4" s="17"/>
    </row>
    <row r="5" spans="1:30" ht="16.5" customHeight="1">
      <c r="A5" s="135" t="s">
        <v>31</v>
      </c>
      <c r="B5" s="136"/>
      <c r="C5" s="135"/>
      <c r="D5" s="136"/>
      <c r="E5" s="137" t="s">
        <v>33</v>
      </c>
      <c r="F5" s="138"/>
      <c r="G5" s="132" t="s">
        <v>34</v>
      </c>
      <c r="H5" s="134"/>
      <c r="I5" s="58" t="s">
        <v>32</v>
      </c>
      <c r="J5" s="132"/>
      <c r="K5" s="133"/>
      <c r="L5" s="134"/>
      <c r="M5" s="36"/>
      <c r="N5" s="20"/>
      <c r="O5" s="17"/>
    </row>
    <row r="6" spans="1:30" s="3" customFormat="1" ht="13.5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0" t="s">
        <v>37</v>
      </c>
      <c r="K6" s="131"/>
      <c r="L6" s="107" t="s">
        <v>26</v>
      </c>
      <c r="M6" s="37"/>
      <c r="N6" s="71" t="str">
        <f>CONCATENATE("CREATE TABLE ",$F$4," (")</f>
        <v>CREATE TABLE PRODUCTIONPLAN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PRODUCTIONPLAN IS '생산계획'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 s="27" customFormat="1" ht="13.5" customHeight="1">
      <c r="A7" s="104">
        <v>1</v>
      </c>
      <c r="B7" s="59" t="s">
        <v>109</v>
      </c>
      <c r="C7" s="59" t="s">
        <v>106</v>
      </c>
      <c r="D7" s="59" t="s">
        <v>43</v>
      </c>
      <c r="E7" s="59" t="s">
        <v>62</v>
      </c>
      <c r="F7" s="59"/>
      <c r="G7" s="95" t="s">
        <v>72</v>
      </c>
      <c r="H7" s="95"/>
      <c r="I7" s="96"/>
      <c r="J7" s="121" t="s">
        <v>73</v>
      </c>
      <c r="K7" s="121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ProductionPlanCode             INT  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PRODUCTIONPLAN.ProductionPlanCode IS '생산계획코드  ( AUTO_INCREMENT )' ;</v>
      </c>
      <c r="V7" s="75"/>
      <c r="W7" s="75"/>
      <c r="X7" s="75"/>
      <c r="Y7" s="75"/>
      <c r="Z7" s="75"/>
      <c r="AA7" s="75"/>
      <c r="AB7" s="75"/>
      <c r="AC7" s="75"/>
    </row>
    <row r="8" spans="1:30" s="3" customFormat="1" ht="14.25">
      <c r="A8" s="104">
        <v>2</v>
      </c>
      <c r="B8" s="59" t="s">
        <v>85</v>
      </c>
      <c r="C8" s="59" t="s">
        <v>63</v>
      </c>
      <c r="D8" s="59" t="s">
        <v>43</v>
      </c>
      <c r="E8" s="59" t="s">
        <v>45</v>
      </c>
      <c r="F8" s="59">
        <v>5</v>
      </c>
      <c r="G8" s="95"/>
      <c r="H8" s="98" t="s">
        <v>104</v>
      </c>
      <c r="I8" s="59"/>
      <c r="J8" s="121" t="s">
        <v>107</v>
      </c>
      <c r="K8" s="121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ProductionID                   CHAR (5)   NOT NULL  ,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PRODUCTIONPLAN.ProductionID IS '제품ID  ( 생산가능제품인지? )' ;</v>
      </c>
      <c r="V8" s="72"/>
      <c r="W8" s="72"/>
      <c r="X8" s="72"/>
      <c r="Y8" s="72"/>
      <c r="Z8" s="72"/>
      <c r="AA8" s="72"/>
      <c r="AB8" s="72"/>
      <c r="AC8" s="72"/>
    </row>
    <row r="9" spans="1:30" s="27" customFormat="1" ht="18.600000000000001" customHeight="1">
      <c r="A9" s="104">
        <v>3</v>
      </c>
      <c r="B9" s="61" t="s">
        <v>87</v>
      </c>
      <c r="C9" s="65" t="s">
        <v>68</v>
      </c>
      <c r="D9" s="59" t="s">
        <v>43</v>
      </c>
      <c r="E9" s="59" t="s">
        <v>62</v>
      </c>
      <c r="F9" s="59"/>
      <c r="G9" s="95"/>
      <c r="H9" s="95"/>
      <c r="I9" s="96"/>
      <c r="J9" s="147"/>
      <c r="K9" s="147"/>
      <c r="L9" s="97"/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 xml:space="preserve">Amount                         INT     NOT NULL  </v>
      </c>
      <c r="O9" s="74"/>
      <c r="P9" s="75"/>
      <c r="Q9" s="75"/>
      <c r="R9" s="75"/>
      <c r="S9" s="75"/>
      <c r="T9" s="75"/>
      <c r="U9" s="73" t="str">
        <f t="shared" si="0"/>
        <v>COMMENT ON COLUMN PRODUCTIONPLAN.Amount IS '갯수' ;</v>
      </c>
      <c r="V9" s="75"/>
      <c r="W9" s="75"/>
      <c r="X9" s="75"/>
      <c r="Y9" s="75"/>
      <c r="Z9" s="75"/>
      <c r="AA9" s="75"/>
      <c r="AB9" s="75"/>
      <c r="AC9" s="75"/>
    </row>
    <row r="10" spans="1:30" s="27" customFormat="1" ht="14.25">
      <c r="A10" s="104">
        <v>4</v>
      </c>
      <c r="B10" s="59"/>
      <c r="C10" s="65"/>
      <c r="D10" s="67"/>
      <c r="E10" s="89"/>
      <c r="F10" s="93"/>
      <c r="G10" s="95"/>
      <c r="H10" s="95"/>
      <c r="I10" s="96"/>
      <c r="J10" s="148"/>
      <c r="K10" s="148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) Tablespace TS_HEMR_DATA ;</v>
      </c>
      <c r="O10" s="74"/>
      <c r="P10" s="75"/>
      <c r="Q10" s="75"/>
      <c r="R10" s="75"/>
      <c r="S10" s="75"/>
      <c r="T10" s="75"/>
      <c r="U10" s="73" t="str">
        <f t="shared" si="0"/>
        <v>COMMENT ON COLUMN PRODUCTIONPLAN. IS '' ;</v>
      </c>
      <c r="V10" s="75"/>
      <c r="W10" s="75"/>
      <c r="X10" s="75"/>
      <c r="Y10" s="75"/>
      <c r="Z10" s="75"/>
      <c r="AA10" s="75"/>
      <c r="AB10" s="75"/>
      <c r="AC10" s="75"/>
    </row>
    <row r="11" spans="1:30" s="27" customFormat="1" ht="14.25">
      <c r="A11" s="104">
        <v>5</v>
      </c>
      <c r="B11" s="59"/>
      <c r="C11" s="59"/>
      <c r="D11" s="108"/>
      <c r="E11" s="88"/>
      <c r="F11" s="92"/>
      <c r="G11" s="95"/>
      <c r="H11" s="95"/>
      <c r="I11" s="96"/>
      <c r="J11" s="147"/>
      <c r="K11" s="147"/>
      <c r="L11" s="97"/>
      <c r="M11" s="28"/>
      <c r="N11" s="71" t="str">
        <f t="shared" si="1"/>
        <v>) Tablespace TS_HEMR_DATA ;</v>
      </c>
      <c r="O11" s="74"/>
      <c r="P11" s="75"/>
      <c r="Q11" s="75"/>
      <c r="R11" s="75"/>
      <c r="S11" s="75"/>
      <c r="T11" s="75"/>
      <c r="U11" s="73" t="str">
        <f t="shared" si="0"/>
        <v>COMMENT ON COLUMN PRODUCTIONPLAN. IS '' ;</v>
      </c>
      <c r="V11" s="75"/>
      <c r="W11" s="75"/>
      <c r="X11" s="75"/>
      <c r="Y11" s="75"/>
      <c r="Z11" s="75"/>
      <c r="AA11" s="75"/>
      <c r="AB11" s="75"/>
      <c r="AC11" s="75"/>
    </row>
    <row r="12" spans="1:30" s="27" customFormat="1" ht="19.5" customHeight="1">
      <c r="A12" s="104">
        <v>6</v>
      </c>
      <c r="B12" s="59"/>
      <c r="C12" s="65"/>
      <c r="D12" s="108"/>
      <c r="E12" s="88"/>
      <c r="F12" s="93"/>
      <c r="G12" s="95"/>
      <c r="H12" s="95"/>
      <c r="I12" s="96"/>
      <c r="J12" s="121"/>
      <c r="K12" s="121"/>
      <c r="L12" s="97"/>
      <c r="M12" s="28"/>
      <c r="N12" s="71" t="str">
        <f t="shared" si="1"/>
        <v>) Tablespace TS_HEMR_DATA ;</v>
      </c>
      <c r="O12" s="74"/>
      <c r="P12" s="75"/>
      <c r="Q12" s="75"/>
      <c r="R12" s="75"/>
      <c r="S12" s="75"/>
      <c r="T12" s="75"/>
      <c r="U12" s="73" t="str">
        <f t="shared" si="0"/>
        <v>COMMENT ON COLUMN PRODUCTIONPLAN. IS '' ;</v>
      </c>
      <c r="V12" s="75"/>
      <c r="W12" s="75"/>
      <c r="X12" s="75"/>
      <c r="Y12" s="75"/>
      <c r="Z12" s="75"/>
      <c r="AA12" s="75"/>
      <c r="AB12" s="75"/>
      <c r="AC12" s="75"/>
    </row>
    <row r="13" spans="1:30" s="27" customFormat="1" ht="14.25">
      <c r="A13" s="104">
        <v>7</v>
      </c>
      <c r="B13" s="59"/>
      <c r="C13" s="65"/>
      <c r="D13" s="108"/>
      <c r="E13" s="88"/>
      <c r="F13" s="94"/>
      <c r="G13" s="95"/>
      <c r="H13" s="95"/>
      <c r="I13" s="96"/>
      <c r="J13" s="121"/>
      <c r="K13" s="121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) Tablespace TS_HEMR_DATA ;</v>
      </c>
      <c r="O13" s="74"/>
      <c r="P13" s="75"/>
      <c r="Q13" s="75"/>
      <c r="R13" s="75"/>
      <c r="S13" s="75"/>
      <c r="T13" s="75"/>
      <c r="U13" s="73" t="str">
        <f t="shared" si="0"/>
        <v>COMMENT ON COLUMN PRODUCTIONPLAN. IS '' ;</v>
      </c>
      <c r="V13" s="75"/>
      <c r="W13" s="75"/>
      <c r="X13" s="75"/>
      <c r="Y13" s="75"/>
      <c r="Z13" s="75"/>
      <c r="AA13" s="75"/>
      <c r="AB13" s="75"/>
      <c r="AC13" s="75"/>
    </row>
    <row r="14" spans="1:30" s="27" customFormat="1" ht="14.25">
      <c r="A14" s="104">
        <v>8</v>
      </c>
      <c r="B14" s="59"/>
      <c r="C14" s="59"/>
      <c r="D14" s="67"/>
      <c r="E14" s="88"/>
      <c r="F14" s="94"/>
      <c r="G14" s="95"/>
      <c r="H14" s="95"/>
      <c r="I14" s="96"/>
      <c r="J14" s="121"/>
      <c r="K14" s="121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74"/>
      <c r="P14" s="75"/>
      <c r="Q14" s="75"/>
      <c r="R14" s="75"/>
      <c r="S14" s="75"/>
      <c r="T14" s="75"/>
      <c r="U14" s="73" t="str">
        <f t="shared" si="0"/>
        <v>COMMENT ON COLUMN PRODUCTIONPLAN. IS '' ;</v>
      </c>
      <c r="V14" s="75"/>
      <c r="W14" s="75"/>
      <c r="X14" s="75"/>
      <c r="Y14" s="75"/>
      <c r="Z14" s="75"/>
      <c r="AA14" s="75"/>
      <c r="AB14" s="75"/>
      <c r="AC14" s="75"/>
    </row>
    <row r="15" spans="1:30" s="27" customFormat="1" ht="14.25">
      <c r="A15" s="104">
        <v>9</v>
      </c>
      <c r="B15" s="66"/>
      <c r="C15" s="66"/>
      <c r="D15" s="70"/>
      <c r="E15" s="90"/>
      <c r="F15" s="93"/>
      <c r="G15" s="95"/>
      <c r="H15" s="95"/>
      <c r="I15" s="100"/>
      <c r="J15" s="121"/>
      <c r="K15" s="121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PRODUCTIONPLAN. IS '' ;</v>
      </c>
      <c r="V15" s="75"/>
      <c r="W15" s="75"/>
      <c r="X15" s="75"/>
      <c r="Y15" s="75"/>
      <c r="Z15" s="75"/>
      <c r="AA15" s="75"/>
      <c r="AB15" s="75"/>
      <c r="AC15" s="75"/>
    </row>
    <row r="16" spans="1:30" s="27" customFormat="1" ht="14.25">
      <c r="A16" s="104">
        <v>10</v>
      </c>
      <c r="B16" s="101"/>
      <c r="C16" s="101"/>
      <c r="D16" s="67"/>
      <c r="E16" s="102"/>
      <c r="F16" s="103"/>
      <c r="G16" s="95"/>
      <c r="H16" s="95"/>
      <c r="I16" s="96"/>
      <c r="J16" s="121"/>
      <c r="K16" s="121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PRODUCTIONPLAN. IS '' ;</v>
      </c>
      <c r="V16" s="75"/>
      <c r="W16" s="75"/>
      <c r="X16" s="75"/>
      <c r="Y16" s="75"/>
      <c r="Z16" s="75"/>
      <c r="AA16" s="75"/>
      <c r="AB16" s="75"/>
      <c r="AC16" s="75"/>
    </row>
    <row r="17" spans="1:29" s="3" customFormat="1" ht="14.25">
      <c r="A17" s="104">
        <v>11</v>
      </c>
      <c r="B17" s="101"/>
      <c r="C17" s="101"/>
      <c r="D17" s="67"/>
      <c r="E17" s="102"/>
      <c r="F17" s="103"/>
      <c r="G17" s="95"/>
      <c r="H17" s="95"/>
      <c r="I17" s="96"/>
      <c r="J17" s="121"/>
      <c r="K17" s="121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PRODUCTIONPLAN. IS '' ;</v>
      </c>
      <c r="V17" s="72"/>
      <c r="W17" s="72"/>
      <c r="X17" s="72"/>
      <c r="Y17" s="72"/>
      <c r="Z17" s="72"/>
      <c r="AA17" s="72"/>
      <c r="AB17" s="72"/>
      <c r="AC17" s="72"/>
    </row>
    <row r="18" spans="1:29" s="3" customFormat="1" ht="14.25">
      <c r="A18" s="104">
        <v>12</v>
      </c>
      <c r="B18" s="101"/>
      <c r="C18" s="101"/>
      <c r="D18" s="68"/>
      <c r="E18" s="102"/>
      <c r="F18" s="103"/>
      <c r="G18" s="95"/>
      <c r="H18" s="95"/>
      <c r="I18" s="96"/>
      <c r="J18" s="121"/>
      <c r="K18" s="121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PRODUCTIONPLAN. IS '' ;</v>
      </c>
      <c r="V18" s="72"/>
      <c r="W18" s="72"/>
      <c r="X18" s="72"/>
      <c r="Y18" s="72"/>
      <c r="Z18" s="72"/>
      <c r="AA18" s="72"/>
      <c r="AB18" s="72"/>
      <c r="AC18" s="72"/>
    </row>
    <row r="19" spans="1:29" s="3" customFormat="1" ht="14.25">
      <c r="A19" s="104">
        <v>13</v>
      </c>
      <c r="B19" s="101"/>
      <c r="C19" s="101"/>
      <c r="D19" s="87"/>
      <c r="E19" s="102"/>
      <c r="F19" s="103"/>
      <c r="G19" s="95"/>
      <c r="H19" s="95"/>
      <c r="I19" s="96"/>
      <c r="J19" s="121"/>
      <c r="K19" s="121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PRODUCTIONPLAN. IS '' ;</v>
      </c>
      <c r="V19" s="72"/>
      <c r="W19" s="72"/>
      <c r="X19" s="72"/>
      <c r="Y19" s="72"/>
      <c r="Z19" s="72"/>
      <c r="AA19" s="72"/>
      <c r="AB19" s="72"/>
      <c r="AC19" s="72"/>
    </row>
    <row r="20" spans="1:29" s="3" customFormat="1" ht="14.25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21"/>
      <c r="K20" s="121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PRODUCTIONPLAN. IS '' ;</v>
      </c>
      <c r="V20" s="72"/>
      <c r="W20" s="72"/>
      <c r="X20" s="72"/>
      <c r="Y20" s="72"/>
      <c r="Z20" s="72"/>
      <c r="AA20" s="72"/>
      <c r="AB20" s="72"/>
      <c r="AC20" s="72"/>
    </row>
    <row r="21" spans="1:29" s="3" customFormat="1" ht="14.25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21"/>
      <c r="K21" s="121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PRODUCTIONPLAN. IS '' ;</v>
      </c>
      <c r="V21" s="72"/>
      <c r="W21" s="72"/>
      <c r="X21" s="72"/>
      <c r="Y21" s="72"/>
      <c r="Z21" s="72"/>
      <c r="AA21" s="72"/>
      <c r="AB21" s="72"/>
      <c r="AC21" s="72"/>
    </row>
    <row r="22" spans="1:29" s="3" customFormat="1" ht="14.25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21"/>
      <c r="K22" s="121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PRODUCTIONPLAN. IS '' ;</v>
      </c>
      <c r="V22" s="72"/>
      <c r="W22" s="72"/>
      <c r="X22" s="72"/>
      <c r="Y22" s="72"/>
      <c r="Z22" s="72"/>
      <c r="AA22" s="72"/>
      <c r="AB22" s="72"/>
      <c r="AC22" s="72"/>
    </row>
    <row r="23" spans="1:29" s="3" customFormat="1" ht="13.5" customHeight="1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21"/>
      <c r="K23" s="121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PRODUCTIONPLAN. IS '' ;</v>
      </c>
      <c r="V23" s="72"/>
      <c r="W23" s="72"/>
      <c r="X23" s="72"/>
      <c r="Y23" s="72"/>
      <c r="Z23" s="72"/>
      <c r="AA23" s="72"/>
      <c r="AB23" s="72"/>
      <c r="AC23" s="72"/>
    </row>
    <row r="24" spans="1:29" s="3" customFormat="1" ht="14.25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21"/>
      <c r="K24" s="121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PRODUCTIONPLAN. IS '' ;</v>
      </c>
      <c r="V24" s="72"/>
      <c r="W24" s="72"/>
      <c r="X24" s="72"/>
      <c r="Y24" s="72"/>
      <c r="Z24" s="72"/>
      <c r="AA24" s="72"/>
      <c r="AB24" s="72"/>
      <c r="AC24" s="72"/>
    </row>
    <row r="25" spans="1:29" s="3" customFormat="1" ht="13.5" customHeight="1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21"/>
      <c r="K25" s="121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PRODUCTIONPLAN. IS '' ;</v>
      </c>
      <c r="V25" s="72"/>
      <c r="W25" s="72"/>
      <c r="X25" s="72"/>
      <c r="Y25" s="72"/>
      <c r="Z25" s="72"/>
      <c r="AA25" s="72"/>
      <c r="AB25" s="72"/>
      <c r="AC25" s="72"/>
    </row>
    <row r="26" spans="1:29" s="3" customFormat="1" ht="14.25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21"/>
      <c r="K26" s="121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PRODUCTIONPLAN. IS '' ;</v>
      </c>
      <c r="V26" s="72"/>
      <c r="W26" s="72"/>
      <c r="X26" s="72"/>
      <c r="Y26" s="72"/>
      <c r="Z26" s="72"/>
      <c r="AA26" s="72"/>
      <c r="AB26" s="72"/>
      <c r="AC26" s="72"/>
    </row>
    <row r="27" spans="1:29" s="3" customFormat="1" ht="14.25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21"/>
      <c r="K27" s="121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PRODUCTIONPLAN. IS '' ;</v>
      </c>
      <c r="V27" s="72"/>
      <c r="W27" s="72"/>
      <c r="X27" s="72"/>
      <c r="Y27" s="72"/>
      <c r="Z27" s="72"/>
      <c r="AA27" s="72"/>
      <c r="AB27" s="72"/>
      <c r="AC27" s="72"/>
    </row>
    <row r="28" spans="1:29" s="3" customFormat="1" ht="14.25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21"/>
      <c r="K28" s="121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PRODUCTIONPLAN. IS '' ;</v>
      </c>
      <c r="V28" s="72"/>
      <c r="W28" s="72"/>
      <c r="X28" s="72"/>
      <c r="Y28" s="72"/>
      <c r="Z28" s="72"/>
      <c r="AA28" s="72"/>
      <c r="AB28" s="72"/>
      <c r="AC28" s="72"/>
    </row>
    <row r="29" spans="1:29" s="3" customFormat="1" ht="14.25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21"/>
      <c r="K29" s="121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PRODUCTIONPLAN. IS '' ;</v>
      </c>
      <c r="V29" s="72"/>
      <c r="W29" s="72"/>
      <c r="X29" s="72"/>
      <c r="Y29" s="72"/>
      <c r="Z29" s="72"/>
      <c r="AA29" s="72"/>
      <c r="AB29" s="72"/>
      <c r="AC29" s="72"/>
    </row>
    <row r="30" spans="1:29" s="3" customFormat="1" ht="14.25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21"/>
      <c r="K30" s="121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PRODUCTIONPLAN. IS '' ;</v>
      </c>
      <c r="V30" s="72"/>
      <c r="W30" s="72"/>
      <c r="X30" s="72"/>
      <c r="Y30" s="72"/>
      <c r="Z30" s="72"/>
      <c r="AA30" s="72"/>
      <c r="AB30" s="72"/>
      <c r="AC30" s="72"/>
    </row>
    <row r="31" spans="1:29" s="3" customFormat="1" ht="14.25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21"/>
      <c r="K31" s="121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PRODUCTIONPLAN. IS '' ;</v>
      </c>
      <c r="V31" s="72"/>
      <c r="W31" s="72"/>
      <c r="X31" s="72"/>
      <c r="Y31" s="72"/>
      <c r="Z31" s="72"/>
      <c r="AA31" s="72"/>
      <c r="AB31" s="72"/>
      <c r="AC31" s="72"/>
    </row>
    <row r="32" spans="1:29" s="3" customFormat="1" ht="14.25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21"/>
      <c r="K32" s="121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PRODUCTIONPLAN. IS '' ;</v>
      </c>
      <c r="V32" s="72"/>
      <c r="W32" s="72"/>
      <c r="X32" s="72"/>
      <c r="Y32" s="72"/>
      <c r="Z32" s="72"/>
      <c r="AA32" s="72"/>
      <c r="AB32" s="72"/>
      <c r="AC32" s="72"/>
    </row>
    <row r="33" spans="1:29" s="3" customFormat="1" ht="14.25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21"/>
      <c r="K33" s="121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PRODUCTIONPLAN. IS '' ;</v>
      </c>
      <c r="V33" s="72"/>
      <c r="W33" s="72"/>
      <c r="X33" s="72"/>
      <c r="Y33" s="72"/>
      <c r="Z33" s="72"/>
      <c r="AA33" s="72"/>
      <c r="AB33" s="72"/>
      <c r="AC33" s="72"/>
    </row>
    <row r="34" spans="1:29" s="3" customFormat="1" ht="14.25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21"/>
      <c r="K34" s="121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PRODUCTIONPLAN. IS '' ;</v>
      </c>
      <c r="V34" s="72"/>
      <c r="W34" s="72"/>
      <c r="X34" s="72"/>
      <c r="Y34" s="72"/>
      <c r="Z34" s="72"/>
      <c r="AA34" s="72"/>
      <c r="AB34" s="72"/>
      <c r="AC34" s="72"/>
    </row>
    <row r="35" spans="1:29" s="3" customFormat="1" ht="14.25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21"/>
      <c r="K35" s="121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PRODUCTIONPLAN. IS '' ;</v>
      </c>
      <c r="V35" s="72"/>
      <c r="W35" s="72"/>
      <c r="X35" s="72"/>
      <c r="Y35" s="72"/>
      <c r="Z35" s="72"/>
      <c r="AA35" s="72"/>
      <c r="AB35" s="72"/>
      <c r="AC35" s="72"/>
    </row>
    <row r="36" spans="1:29" s="3" customFormat="1" ht="14.25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21"/>
      <c r="K36" s="121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</row>
    <row r="37" spans="1:29" s="3" customFormat="1" ht="14.25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21"/>
      <c r="K37" s="121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</row>
    <row r="38" spans="1:29" s="3" customFormat="1" ht="13.5">
      <c r="A38" s="40"/>
      <c r="B38" s="41"/>
      <c r="C38" s="41"/>
      <c r="D38" s="43"/>
      <c r="E38" s="43"/>
      <c r="F38" s="43"/>
      <c r="G38" s="50"/>
      <c r="H38" s="43"/>
      <c r="I38" s="44"/>
      <c r="J38" s="146"/>
      <c r="K38" s="146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</row>
    <row r="39" spans="1:29" s="3" customFormat="1" ht="13.5">
      <c r="A39" s="42"/>
      <c r="B39" s="41"/>
      <c r="C39" s="41"/>
      <c r="D39" s="43"/>
      <c r="E39" s="43"/>
      <c r="F39" s="43"/>
      <c r="G39" s="43"/>
      <c r="H39" s="43"/>
      <c r="I39" s="44"/>
      <c r="J39" s="57"/>
      <c r="K39" s="57"/>
      <c r="L39" s="28"/>
      <c r="M39" s="8"/>
      <c r="N39" s="71" t="s">
        <v>36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</row>
    <row r="40" spans="1:29" s="3" customFormat="1" ht="13.5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9" s="3" customFormat="1" ht="13.5">
      <c r="A41" s="40"/>
      <c r="B41" s="26"/>
      <c r="C41" s="26"/>
      <c r="D41" s="25"/>
      <c r="E41" s="25"/>
      <c r="F41" s="25"/>
      <c r="G41" s="25"/>
      <c r="H41" s="25"/>
      <c r="I41" s="26"/>
      <c r="J41" s="57"/>
      <c r="K41" s="57"/>
      <c r="L41" s="8"/>
      <c r="M41" s="8"/>
      <c r="N41" s="22"/>
      <c r="O41" s="8"/>
    </row>
    <row r="42" spans="1:29" s="2" customFormat="1" ht="13.5">
      <c r="A42" s="77" t="s">
        <v>11</v>
      </c>
      <c r="B42" s="77" t="s">
        <v>30</v>
      </c>
      <c r="C42" s="153" t="s">
        <v>15</v>
      </c>
      <c r="D42" s="153"/>
      <c r="E42" s="153"/>
      <c r="F42" s="153"/>
      <c r="G42" s="153"/>
      <c r="H42" s="77" t="s">
        <v>27</v>
      </c>
      <c r="I42" s="77" t="s">
        <v>17</v>
      </c>
      <c r="J42" s="154" t="s">
        <v>28</v>
      </c>
      <c r="K42" s="155"/>
      <c r="L42" s="156"/>
      <c r="M42" s="78"/>
      <c r="N42" s="79"/>
      <c r="O42" s="79"/>
      <c r="P42" s="80"/>
      <c r="Q42" s="80"/>
      <c r="R42" s="80"/>
      <c r="S42" s="80"/>
      <c r="T42" s="80"/>
      <c r="U42" s="80"/>
    </row>
    <row r="43" spans="1:29" s="2" customFormat="1" ht="13.5">
      <c r="A43" s="81">
        <v>1</v>
      </c>
      <c r="B43" s="64"/>
      <c r="C43" s="149"/>
      <c r="D43" s="149"/>
      <c r="E43" s="149"/>
      <c r="F43" s="149"/>
      <c r="G43" s="149"/>
      <c r="H43" s="81"/>
      <c r="I43" s="82"/>
      <c r="J43" s="150"/>
      <c r="K43" s="151"/>
      <c r="L43" s="152"/>
      <c r="M43" s="83"/>
      <c r="N43" s="79" t="str">
        <f>CONCATENATE("CREATE ", IF(H43&lt;&gt;"", "UNIQUE ", ""),"INDEX ", B43, " ON ", $F$4, "( ",C43, " ) " )</f>
        <v xml:space="preserve">CREATE INDEX  ON PRODUCTIONPLAN(  ) </v>
      </c>
      <c r="O43" s="79"/>
      <c r="P43" s="80"/>
      <c r="Q43" s="80"/>
      <c r="R43" s="80"/>
      <c r="S43" s="80"/>
      <c r="T43" s="80"/>
      <c r="U43" s="80"/>
    </row>
    <row r="44" spans="1:29" s="2" customFormat="1" ht="13.5">
      <c r="A44" s="81">
        <v>2</v>
      </c>
      <c r="B44" s="64"/>
      <c r="C44" s="149"/>
      <c r="D44" s="149"/>
      <c r="E44" s="149"/>
      <c r="F44" s="149"/>
      <c r="G44" s="149"/>
      <c r="H44" s="81"/>
      <c r="I44" s="82"/>
      <c r="J44" s="150"/>
      <c r="K44" s="151"/>
      <c r="L44" s="152"/>
      <c r="M44" s="83"/>
      <c r="N44" s="79" t="str">
        <f t="shared" ref="N44:N46" si="2">CONCATENATE("CREATE ", IF(H44&lt;&gt;"", "UNIQUE ", ""),"INDEX ", B44, " ON ", $F$4, "( ",C44, " ) " )</f>
        <v xml:space="preserve">CREATE INDEX  ON PRODUCTIONPLAN(  ) </v>
      </c>
      <c r="O44" s="79"/>
      <c r="P44" s="80"/>
      <c r="Q44" s="80"/>
      <c r="R44" s="80"/>
      <c r="S44" s="80"/>
      <c r="T44" s="80"/>
      <c r="U44" s="80"/>
    </row>
    <row r="45" spans="1:29" s="2" customFormat="1" ht="13.5">
      <c r="A45" s="81">
        <v>3</v>
      </c>
      <c r="B45" s="64"/>
      <c r="C45" s="149"/>
      <c r="D45" s="149"/>
      <c r="E45" s="149"/>
      <c r="F45" s="149"/>
      <c r="G45" s="149"/>
      <c r="H45" s="81"/>
      <c r="I45" s="82"/>
      <c r="J45" s="84"/>
      <c r="K45" s="85"/>
      <c r="L45" s="86"/>
      <c r="M45" s="83"/>
      <c r="N45" s="79" t="str">
        <f t="shared" si="2"/>
        <v xml:space="preserve">CREATE INDEX  ON PRODUCTIONPLAN(  ) </v>
      </c>
      <c r="O45" s="79"/>
      <c r="P45" s="80"/>
      <c r="Q45" s="80"/>
      <c r="R45" s="80"/>
      <c r="S45" s="80"/>
      <c r="T45" s="80"/>
      <c r="U45" s="80"/>
    </row>
    <row r="46" spans="1:29" s="2" customFormat="1" ht="13.5">
      <c r="A46" s="81">
        <v>4</v>
      </c>
      <c r="B46" s="64"/>
      <c r="C46" s="149"/>
      <c r="D46" s="149"/>
      <c r="E46" s="149"/>
      <c r="F46" s="149"/>
      <c r="G46" s="149"/>
      <c r="H46" s="81"/>
      <c r="I46" s="82"/>
      <c r="J46" s="150"/>
      <c r="K46" s="151"/>
      <c r="L46" s="152"/>
      <c r="M46" s="83"/>
      <c r="N46" s="79" t="str">
        <f t="shared" si="2"/>
        <v xml:space="preserve">CREATE INDEX  ON PRODUCTIONPLAN(  ) </v>
      </c>
      <c r="O46" s="79"/>
      <c r="P46" s="80"/>
      <c r="Q46" s="80"/>
      <c r="R46" s="80"/>
      <c r="S46" s="80"/>
      <c r="T46" s="80"/>
      <c r="U46" s="80"/>
    </row>
    <row r="47" spans="1:29" s="2" customFormat="1" ht="13.5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</row>
    <row r="48" spans="1:29" s="2" customFormat="1" ht="13.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</row>
    <row r="49" spans="1:23" s="2" customFormat="1" ht="13.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</row>
    <row r="50" spans="1:23" s="2" customFormat="1" ht="13.5">
      <c r="A50" s="157" t="s">
        <v>116</v>
      </c>
      <c r="B50" s="157"/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7" t="s">
        <v>119</v>
      </c>
      <c r="N50" s="157"/>
      <c r="O50" s="157"/>
      <c r="P50" s="157"/>
      <c r="Q50" s="157"/>
      <c r="R50" s="157"/>
      <c r="S50" s="157"/>
      <c r="T50" s="157"/>
      <c r="U50" s="157"/>
      <c r="V50" s="157"/>
      <c r="W50" s="157"/>
    </row>
    <row r="51" spans="1:23" s="2" customFormat="1">
      <c r="A51" s="158"/>
      <c r="B51" s="162" t="s">
        <v>118</v>
      </c>
      <c r="C51" s="163"/>
      <c r="D51" s="163"/>
      <c r="E51" s="163"/>
      <c r="F51" s="164"/>
      <c r="G51" s="162" t="s">
        <v>120</v>
      </c>
      <c r="H51" s="163"/>
      <c r="I51" s="163"/>
      <c r="J51" s="163"/>
      <c r="K51" s="163"/>
      <c r="L51" s="164"/>
      <c r="M51" s="162" t="s">
        <v>118</v>
      </c>
      <c r="N51" s="163"/>
      <c r="O51" s="163"/>
      <c r="P51" s="163"/>
      <c r="Q51" s="164"/>
      <c r="R51" s="162" t="s">
        <v>117</v>
      </c>
      <c r="S51" s="163"/>
      <c r="T51" s="163"/>
      <c r="U51" s="163"/>
      <c r="V51" s="163"/>
      <c r="W51" s="164"/>
    </row>
    <row r="52" spans="1:23" s="2" customFormat="1" ht="13.5">
      <c r="A52" s="29">
        <v>1</v>
      </c>
      <c r="B52" s="159" t="str">
        <f>IF(AND(COUNTA($G$7:$G$37) = 1, LOWER($G7)="y"),"ALTER TABLE " &amp; $F$4 &amp; " ADD CONSTRAINT " &amp; LOWER("pk_" &amp; $F$4 &amp;"_" &amp; $B7)&amp; " PRIMARY KEY( " &amp; $B7 &amp; ");","")</f>
        <v>ALTER TABLE PRODUCTIONPLAN ADD CONSTRAINT pk_productionplan_productionplancode PRIMARY KEY( ProductionPlanCode);</v>
      </c>
      <c r="C52" s="160"/>
      <c r="D52" s="160"/>
      <c r="E52" s="160"/>
      <c r="F52" s="161"/>
      <c r="G52" s="159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60"/>
      <c r="I52" s="160"/>
      <c r="J52" s="160"/>
      <c r="K52" s="160"/>
      <c r="L52" s="161"/>
      <c r="M52" s="159" t="str">
        <f>IF(B52 &lt;&gt; "", IF(AND(COUNTA($G$7:$G$37) = 1, LOWER($G7)="y"),"ALTER TABLE " &amp; $F$4 &amp; " DROP PRIMARY KEY;",""), "")</f>
        <v>ALTER TABLE PRODUCTIONPLAN DROP PRIMARY KEY;</v>
      </c>
      <c r="N52" s="160"/>
      <c r="O52" s="160"/>
      <c r="P52" s="160"/>
      <c r="Q52" s="161"/>
      <c r="R52" s="159" t="str">
        <f>IF($H7&lt;&gt;"","ALTER TABLE " &amp; $F$4 &amp; " DROP FOREIGN KEY  `fk_" &amp; LOWER($H7 &amp; "_" &amp; $F$4 &amp; "_" &amp; $B7) &amp; "`;","")</f>
        <v/>
      </c>
      <c r="S52" s="160"/>
      <c r="T52" s="160"/>
      <c r="U52" s="160"/>
      <c r="V52" s="160"/>
      <c r="W52" s="161"/>
    </row>
    <row r="53" spans="1:23" s="2" customFormat="1" ht="13.5">
      <c r="A53" s="29">
        <v>2</v>
      </c>
      <c r="B53" s="159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60"/>
      <c r="D53" s="160"/>
      <c r="E53" s="160"/>
      <c r="F53" s="161"/>
      <c r="G53" s="159" t="str">
        <f>IF($H8&lt;&gt;"","ALTER TABLE " &amp; $F$4 &amp; " ADD CONSTRAINT fk_" &amp; LOWER($H8 &amp; "_" &amp; $F$4 &amp; "_" &amp; $B8) &amp; "  FOREIGN KEY(" &amp; $B8 &amp; " ) REFERENCES " &amp; $H8&amp; "(" &amp; $B8 &amp; ");","")</f>
        <v>ALTER TABLE PRODUCTIONPLAN ADD CONSTRAINT fk_production_productionplan_productionid  FOREIGN KEY(ProductionID ) REFERENCES Production(ProductionID);</v>
      </c>
      <c r="H53" s="160"/>
      <c r="I53" s="160"/>
      <c r="J53" s="160"/>
      <c r="K53" s="160"/>
      <c r="L53" s="161"/>
      <c r="M53" s="159" t="str">
        <f t="shared" ref="M53:M82" si="4">IF(B53 &lt;&gt; "", IF(AND(COUNTA($G$7:$G$37) = 1, LOWER($G8)="y"),"ALTER TABLE " &amp; $F$4 &amp; " DROP PRIMARY KEY;",""), "")</f>
        <v/>
      </c>
      <c r="N53" s="160"/>
      <c r="O53" s="160"/>
      <c r="P53" s="160"/>
      <c r="Q53" s="161"/>
      <c r="R53" s="159" t="str">
        <f>IF($H8&lt;&gt;"","ALTER TABLE " &amp; $F$4 &amp; " DROP FOREIGN KEY  `fk_" &amp; LOWER($H8 &amp; "_" &amp; $F$4 &amp; "_" &amp; $B8) &amp; "`;","")</f>
        <v>ALTER TABLE PRODUCTIONPLAN DROP FOREIGN KEY  `fk_production_productionplan_productionid`;</v>
      </c>
      <c r="S53" s="160"/>
      <c r="T53" s="160"/>
      <c r="U53" s="160"/>
      <c r="V53" s="160"/>
      <c r="W53" s="161"/>
    </row>
    <row r="54" spans="1:23" s="2" customFormat="1" ht="13.5">
      <c r="A54" s="29">
        <v>3</v>
      </c>
      <c r="B54" s="159" t="str">
        <f t="shared" si="3"/>
        <v/>
      </c>
      <c r="C54" s="160"/>
      <c r="D54" s="160"/>
      <c r="E54" s="160"/>
      <c r="F54" s="161"/>
      <c r="G54" s="159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/>
      </c>
      <c r="H54" s="160"/>
      <c r="I54" s="160"/>
      <c r="J54" s="160"/>
      <c r="K54" s="160"/>
      <c r="L54" s="161"/>
      <c r="M54" s="159" t="str">
        <f t="shared" si="4"/>
        <v/>
      </c>
      <c r="N54" s="160"/>
      <c r="O54" s="160"/>
      <c r="P54" s="160"/>
      <c r="Q54" s="161"/>
      <c r="R54" s="159" t="str">
        <f t="shared" ref="R54:R82" si="6">IF($H9&lt;&gt;"","ALTER TABLE " &amp; $F$4 &amp; " DROP FOREIGN KEY  `fk_" &amp; LOWER($H9 &amp; "_" &amp; $F$4 &amp; "_" &amp; $B9) &amp; "`;","")</f>
        <v/>
      </c>
      <c r="S54" s="160"/>
      <c r="T54" s="160"/>
      <c r="U54" s="160"/>
      <c r="V54" s="160"/>
      <c r="W54" s="161"/>
    </row>
    <row r="55" spans="1:23" s="2" customFormat="1" ht="13.5">
      <c r="A55" s="29">
        <v>4</v>
      </c>
      <c r="B55" s="159" t="str">
        <f t="shared" si="3"/>
        <v/>
      </c>
      <c r="C55" s="160"/>
      <c r="D55" s="160"/>
      <c r="E55" s="160"/>
      <c r="F55" s="161"/>
      <c r="G55" s="159" t="str">
        <f t="shared" si="5"/>
        <v/>
      </c>
      <c r="H55" s="160"/>
      <c r="I55" s="160"/>
      <c r="J55" s="160"/>
      <c r="K55" s="160"/>
      <c r="L55" s="161"/>
      <c r="M55" s="159" t="str">
        <f t="shared" si="4"/>
        <v/>
      </c>
      <c r="N55" s="160"/>
      <c r="O55" s="160"/>
      <c r="P55" s="160"/>
      <c r="Q55" s="161"/>
      <c r="R55" s="159" t="str">
        <f t="shared" si="6"/>
        <v/>
      </c>
      <c r="S55" s="160"/>
      <c r="T55" s="160"/>
      <c r="U55" s="160"/>
      <c r="V55" s="160"/>
      <c r="W55" s="161"/>
    </row>
    <row r="56" spans="1:23" s="2" customFormat="1" ht="13.5">
      <c r="A56" s="29">
        <v>5</v>
      </c>
      <c r="B56" s="159" t="str">
        <f t="shared" si="3"/>
        <v/>
      </c>
      <c r="C56" s="160"/>
      <c r="D56" s="160"/>
      <c r="E56" s="160"/>
      <c r="F56" s="161"/>
      <c r="G56" s="159" t="str">
        <f t="shared" si="5"/>
        <v/>
      </c>
      <c r="H56" s="160"/>
      <c r="I56" s="160"/>
      <c r="J56" s="160"/>
      <c r="K56" s="160"/>
      <c r="L56" s="161"/>
      <c r="M56" s="159" t="str">
        <f t="shared" si="4"/>
        <v/>
      </c>
      <c r="N56" s="160"/>
      <c r="O56" s="160"/>
      <c r="P56" s="160"/>
      <c r="Q56" s="161"/>
      <c r="R56" s="159" t="str">
        <f t="shared" si="6"/>
        <v/>
      </c>
      <c r="S56" s="160"/>
      <c r="T56" s="160"/>
      <c r="U56" s="160"/>
      <c r="V56" s="160"/>
      <c r="W56" s="161"/>
    </row>
    <row r="57" spans="1:23" s="2" customFormat="1" ht="13.5">
      <c r="A57" s="29">
        <v>6</v>
      </c>
      <c r="B57" s="159" t="str">
        <f t="shared" si="3"/>
        <v/>
      </c>
      <c r="C57" s="160"/>
      <c r="D57" s="160"/>
      <c r="E57" s="160"/>
      <c r="F57" s="161"/>
      <c r="G57" s="159" t="str">
        <f t="shared" si="5"/>
        <v/>
      </c>
      <c r="H57" s="160"/>
      <c r="I57" s="160"/>
      <c r="J57" s="160"/>
      <c r="K57" s="160"/>
      <c r="L57" s="161"/>
      <c r="M57" s="159" t="str">
        <f t="shared" si="4"/>
        <v/>
      </c>
      <c r="N57" s="160"/>
      <c r="O57" s="160"/>
      <c r="P57" s="160"/>
      <c r="Q57" s="161"/>
      <c r="R57" s="159" t="str">
        <f t="shared" si="6"/>
        <v/>
      </c>
      <c r="S57" s="160"/>
      <c r="T57" s="160"/>
      <c r="U57" s="160"/>
      <c r="V57" s="160"/>
      <c r="W57" s="161"/>
    </row>
    <row r="58" spans="1:23">
      <c r="A58" s="29">
        <v>7</v>
      </c>
      <c r="B58" s="159" t="str">
        <f t="shared" si="3"/>
        <v/>
      </c>
      <c r="C58" s="160"/>
      <c r="D58" s="160"/>
      <c r="E58" s="160"/>
      <c r="F58" s="161"/>
      <c r="G58" s="159" t="str">
        <f t="shared" si="5"/>
        <v/>
      </c>
      <c r="H58" s="160"/>
      <c r="I58" s="160"/>
      <c r="J58" s="160"/>
      <c r="K58" s="160"/>
      <c r="L58" s="161"/>
      <c r="M58" s="159" t="str">
        <f t="shared" si="4"/>
        <v/>
      </c>
      <c r="N58" s="160"/>
      <c r="O58" s="160"/>
      <c r="P58" s="160"/>
      <c r="Q58" s="161"/>
      <c r="R58" s="159" t="str">
        <f t="shared" si="6"/>
        <v/>
      </c>
      <c r="S58" s="160"/>
      <c r="T58" s="160"/>
      <c r="U58" s="160"/>
      <c r="V58" s="160"/>
      <c r="W58" s="161"/>
    </row>
    <row r="59" spans="1:23">
      <c r="A59" s="29">
        <v>8</v>
      </c>
      <c r="B59" s="159" t="str">
        <f t="shared" si="3"/>
        <v/>
      </c>
      <c r="C59" s="160"/>
      <c r="D59" s="160"/>
      <c r="E59" s="160"/>
      <c r="F59" s="161"/>
      <c r="G59" s="159" t="str">
        <f t="shared" si="5"/>
        <v/>
      </c>
      <c r="H59" s="160"/>
      <c r="I59" s="160"/>
      <c r="J59" s="160"/>
      <c r="K59" s="160"/>
      <c r="L59" s="161"/>
      <c r="M59" s="159" t="str">
        <f t="shared" si="4"/>
        <v/>
      </c>
      <c r="N59" s="160"/>
      <c r="O59" s="160"/>
      <c r="P59" s="160"/>
      <c r="Q59" s="161"/>
      <c r="R59" s="159" t="str">
        <f t="shared" si="6"/>
        <v/>
      </c>
      <c r="S59" s="160"/>
      <c r="T59" s="160"/>
      <c r="U59" s="160"/>
      <c r="V59" s="160"/>
      <c r="W59" s="161"/>
    </row>
    <row r="60" spans="1:23">
      <c r="A60" s="29">
        <v>9</v>
      </c>
      <c r="B60" s="159" t="str">
        <f t="shared" si="3"/>
        <v/>
      </c>
      <c r="C60" s="160"/>
      <c r="D60" s="160"/>
      <c r="E60" s="160"/>
      <c r="F60" s="161"/>
      <c r="G60" s="159" t="str">
        <f t="shared" si="5"/>
        <v/>
      </c>
      <c r="H60" s="160"/>
      <c r="I60" s="160"/>
      <c r="J60" s="160"/>
      <c r="K60" s="160"/>
      <c r="L60" s="161"/>
      <c r="M60" s="159" t="str">
        <f t="shared" si="4"/>
        <v/>
      </c>
      <c r="N60" s="160"/>
      <c r="O60" s="160"/>
      <c r="P60" s="160"/>
      <c r="Q60" s="161"/>
      <c r="R60" s="159" t="str">
        <f t="shared" si="6"/>
        <v/>
      </c>
      <c r="S60" s="160"/>
      <c r="T60" s="160"/>
      <c r="U60" s="160"/>
      <c r="V60" s="160"/>
      <c r="W60" s="161"/>
    </row>
    <row r="61" spans="1:23">
      <c r="A61" s="29">
        <v>10</v>
      </c>
      <c r="B61" s="159" t="str">
        <f t="shared" si="3"/>
        <v/>
      </c>
      <c r="C61" s="160"/>
      <c r="D61" s="160"/>
      <c r="E61" s="160"/>
      <c r="F61" s="161"/>
      <c r="G61" s="159" t="str">
        <f t="shared" si="5"/>
        <v/>
      </c>
      <c r="H61" s="160"/>
      <c r="I61" s="160"/>
      <c r="J61" s="160"/>
      <c r="K61" s="160"/>
      <c r="L61" s="161"/>
      <c r="M61" s="159" t="str">
        <f t="shared" si="4"/>
        <v/>
      </c>
      <c r="N61" s="160"/>
      <c r="O61" s="160"/>
      <c r="P61" s="160"/>
      <c r="Q61" s="161"/>
      <c r="R61" s="159" t="str">
        <f t="shared" si="6"/>
        <v/>
      </c>
      <c r="S61" s="160"/>
      <c r="T61" s="160"/>
      <c r="U61" s="160"/>
      <c r="V61" s="160"/>
      <c r="W61" s="161"/>
    </row>
    <row r="62" spans="1:23">
      <c r="A62" s="29">
        <v>11</v>
      </c>
      <c r="B62" s="159" t="str">
        <f t="shared" si="3"/>
        <v/>
      </c>
      <c r="C62" s="160"/>
      <c r="D62" s="160"/>
      <c r="E62" s="160"/>
      <c r="F62" s="161"/>
      <c r="G62" s="159" t="str">
        <f t="shared" si="5"/>
        <v/>
      </c>
      <c r="H62" s="160"/>
      <c r="I62" s="160"/>
      <c r="J62" s="160"/>
      <c r="K62" s="160"/>
      <c r="L62" s="161"/>
      <c r="M62" s="159" t="str">
        <f t="shared" si="4"/>
        <v/>
      </c>
      <c r="N62" s="160"/>
      <c r="O62" s="160"/>
      <c r="P62" s="160"/>
      <c r="Q62" s="161"/>
      <c r="R62" s="159" t="str">
        <f t="shared" si="6"/>
        <v/>
      </c>
      <c r="S62" s="160"/>
      <c r="T62" s="160"/>
      <c r="U62" s="160"/>
      <c r="V62" s="160"/>
      <c r="W62" s="161"/>
    </row>
    <row r="63" spans="1:23">
      <c r="A63" s="29">
        <v>12</v>
      </c>
      <c r="B63" s="159" t="str">
        <f t="shared" si="3"/>
        <v/>
      </c>
      <c r="C63" s="160"/>
      <c r="D63" s="160"/>
      <c r="E63" s="160"/>
      <c r="F63" s="161"/>
      <c r="G63" s="159" t="str">
        <f t="shared" si="5"/>
        <v/>
      </c>
      <c r="H63" s="160"/>
      <c r="I63" s="160"/>
      <c r="J63" s="160"/>
      <c r="K63" s="160"/>
      <c r="L63" s="161"/>
      <c r="M63" s="159" t="str">
        <f t="shared" si="4"/>
        <v/>
      </c>
      <c r="N63" s="160"/>
      <c r="O63" s="160"/>
      <c r="P63" s="160"/>
      <c r="Q63" s="161"/>
      <c r="R63" s="159" t="str">
        <f t="shared" si="6"/>
        <v/>
      </c>
      <c r="S63" s="160"/>
      <c r="T63" s="160"/>
      <c r="U63" s="160"/>
      <c r="V63" s="160"/>
      <c r="W63" s="161"/>
    </row>
    <row r="64" spans="1:23">
      <c r="A64" s="29">
        <v>13</v>
      </c>
      <c r="B64" s="159" t="str">
        <f t="shared" si="3"/>
        <v/>
      </c>
      <c r="C64" s="160"/>
      <c r="D64" s="160"/>
      <c r="E64" s="160"/>
      <c r="F64" s="161"/>
      <c r="G64" s="159" t="str">
        <f t="shared" si="5"/>
        <v/>
      </c>
      <c r="H64" s="160"/>
      <c r="I64" s="160"/>
      <c r="J64" s="160"/>
      <c r="K64" s="160"/>
      <c r="L64" s="161"/>
      <c r="M64" s="159" t="str">
        <f t="shared" si="4"/>
        <v/>
      </c>
      <c r="N64" s="160"/>
      <c r="O64" s="160"/>
      <c r="P64" s="160"/>
      <c r="Q64" s="161"/>
      <c r="R64" s="159" t="str">
        <f t="shared" si="6"/>
        <v/>
      </c>
      <c r="S64" s="160"/>
      <c r="T64" s="160"/>
      <c r="U64" s="160"/>
      <c r="V64" s="160"/>
      <c r="W64" s="161"/>
    </row>
    <row r="65" spans="1:23">
      <c r="A65" s="29">
        <v>14</v>
      </c>
      <c r="B65" s="159" t="str">
        <f t="shared" si="3"/>
        <v/>
      </c>
      <c r="C65" s="160"/>
      <c r="D65" s="160"/>
      <c r="E65" s="160"/>
      <c r="F65" s="161"/>
      <c r="G65" s="159" t="str">
        <f t="shared" si="5"/>
        <v/>
      </c>
      <c r="H65" s="160"/>
      <c r="I65" s="160"/>
      <c r="J65" s="160"/>
      <c r="K65" s="160"/>
      <c r="L65" s="161"/>
      <c r="M65" s="159" t="str">
        <f t="shared" si="4"/>
        <v/>
      </c>
      <c r="N65" s="160"/>
      <c r="O65" s="160"/>
      <c r="P65" s="160"/>
      <c r="Q65" s="161"/>
      <c r="R65" s="159" t="str">
        <f t="shared" si="6"/>
        <v/>
      </c>
      <c r="S65" s="160"/>
      <c r="T65" s="160"/>
      <c r="U65" s="160"/>
      <c r="V65" s="160"/>
      <c r="W65" s="161"/>
    </row>
    <row r="66" spans="1:23">
      <c r="A66" s="29">
        <v>15</v>
      </c>
      <c r="B66" s="159" t="str">
        <f t="shared" si="3"/>
        <v/>
      </c>
      <c r="C66" s="160"/>
      <c r="D66" s="160"/>
      <c r="E66" s="160"/>
      <c r="F66" s="161"/>
      <c r="G66" s="159" t="str">
        <f t="shared" si="5"/>
        <v/>
      </c>
      <c r="H66" s="160"/>
      <c r="I66" s="160"/>
      <c r="J66" s="160"/>
      <c r="K66" s="160"/>
      <c r="L66" s="161"/>
      <c r="M66" s="159" t="str">
        <f t="shared" si="4"/>
        <v/>
      </c>
      <c r="N66" s="160"/>
      <c r="O66" s="160"/>
      <c r="P66" s="160"/>
      <c r="Q66" s="161"/>
      <c r="R66" s="159" t="str">
        <f t="shared" si="6"/>
        <v/>
      </c>
      <c r="S66" s="160"/>
      <c r="T66" s="160"/>
      <c r="U66" s="160"/>
      <c r="V66" s="160"/>
      <c r="W66" s="161"/>
    </row>
    <row r="67" spans="1:23">
      <c r="A67" s="29">
        <v>16</v>
      </c>
      <c r="B67" s="159" t="str">
        <f t="shared" si="3"/>
        <v/>
      </c>
      <c r="C67" s="160"/>
      <c r="D67" s="160"/>
      <c r="E67" s="160"/>
      <c r="F67" s="161"/>
      <c r="G67" s="159" t="str">
        <f t="shared" si="5"/>
        <v/>
      </c>
      <c r="H67" s="160"/>
      <c r="I67" s="160"/>
      <c r="J67" s="160"/>
      <c r="K67" s="160"/>
      <c r="L67" s="161"/>
      <c r="M67" s="159" t="str">
        <f t="shared" si="4"/>
        <v/>
      </c>
      <c r="N67" s="160"/>
      <c r="O67" s="160"/>
      <c r="P67" s="160"/>
      <c r="Q67" s="161"/>
      <c r="R67" s="159" t="str">
        <f t="shared" si="6"/>
        <v/>
      </c>
      <c r="S67" s="160"/>
      <c r="T67" s="160"/>
      <c r="U67" s="160"/>
      <c r="V67" s="160"/>
      <c r="W67" s="161"/>
    </row>
    <row r="68" spans="1:23">
      <c r="A68" s="29">
        <v>17</v>
      </c>
      <c r="B68" s="159" t="str">
        <f t="shared" si="3"/>
        <v/>
      </c>
      <c r="C68" s="160"/>
      <c r="D68" s="160"/>
      <c r="E68" s="160"/>
      <c r="F68" s="161"/>
      <c r="G68" s="159" t="str">
        <f t="shared" si="5"/>
        <v/>
      </c>
      <c r="H68" s="160"/>
      <c r="I68" s="160"/>
      <c r="J68" s="160"/>
      <c r="K68" s="160"/>
      <c r="L68" s="161"/>
      <c r="M68" s="159" t="str">
        <f t="shared" si="4"/>
        <v/>
      </c>
      <c r="N68" s="160"/>
      <c r="O68" s="160"/>
      <c r="P68" s="160"/>
      <c r="Q68" s="161"/>
      <c r="R68" s="159" t="str">
        <f t="shared" si="6"/>
        <v/>
      </c>
      <c r="S68" s="160"/>
      <c r="T68" s="160"/>
      <c r="U68" s="160"/>
      <c r="V68" s="160"/>
      <c r="W68" s="161"/>
    </row>
    <row r="69" spans="1:23">
      <c r="A69" s="29">
        <v>18</v>
      </c>
      <c r="B69" s="159" t="str">
        <f t="shared" si="3"/>
        <v/>
      </c>
      <c r="C69" s="160"/>
      <c r="D69" s="160"/>
      <c r="E69" s="160"/>
      <c r="F69" s="161"/>
      <c r="G69" s="159" t="str">
        <f t="shared" si="5"/>
        <v/>
      </c>
      <c r="H69" s="160"/>
      <c r="I69" s="160"/>
      <c r="J69" s="160"/>
      <c r="K69" s="160"/>
      <c r="L69" s="161"/>
      <c r="M69" s="159" t="str">
        <f t="shared" si="4"/>
        <v/>
      </c>
      <c r="N69" s="160"/>
      <c r="O69" s="160"/>
      <c r="P69" s="160"/>
      <c r="Q69" s="161"/>
      <c r="R69" s="159" t="str">
        <f t="shared" si="6"/>
        <v/>
      </c>
      <c r="S69" s="160"/>
      <c r="T69" s="160"/>
      <c r="U69" s="160"/>
      <c r="V69" s="160"/>
      <c r="W69" s="161"/>
    </row>
    <row r="70" spans="1:23">
      <c r="A70" s="29">
        <v>19</v>
      </c>
      <c r="B70" s="159" t="str">
        <f t="shared" si="3"/>
        <v/>
      </c>
      <c r="C70" s="160"/>
      <c r="D70" s="160"/>
      <c r="E70" s="160"/>
      <c r="F70" s="161"/>
      <c r="G70" s="159" t="str">
        <f t="shared" si="5"/>
        <v/>
      </c>
      <c r="H70" s="160"/>
      <c r="I70" s="160"/>
      <c r="J70" s="160"/>
      <c r="K70" s="160"/>
      <c r="L70" s="161"/>
      <c r="M70" s="159" t="str">
        <f t="shared" si="4"/>
        <v/>
      </c>
      <c r="N70" s="160"/>
      <c r="O70" s="160"/>
      <c r="P70" s="160"/>
      <c r="Q70" s="161"/>
      <c r="R70" s="159" t="str">
        <f t="shared" si="6"/>
        <v/>
      </c>
      <c r="S70" s="160"/>
      <c r="T70" s="160"/>
      <c r="U70" s="160"/>
      <c r="V70" s="160"/>
      <c r="W70" s="161"/>
    </row>
    <row r="71" spans="1:23">
      <c r="A71" s="29">
        <v>20</v>
      </c>
      <c r="B71" s="159" t="str">
        <f t="shared" si="3"/>
        <v/>
      </c>
      <c r="C71" s="160"/>
      <c r="D71" s="160"/>
      <c r="E71" s="160"/>
      <c r="F71" s="161"/>
      <c r="G71" s="159" t="str">
        <f t="shared" si="5"/>
        <v/>
      </c>
      <c r="H71" s="160"/>
      <c r="I71" s="160"/>
      <c r="J71" s="160"/>
      <c r="K71" s="160"/>
      <c r="L71" s="161"/>
      <c r="M71" s="159" t="str">
        <f t="shared" si="4"/>
        <v/>
      </c>
      <c r="N71" s="160"/>
      <c r="O71" s="160"/>
      <c r="P71" s="160"/>
      <c r="Q71" s="161"/>
      <c r="R71" s="159" t="str">
        <f t="shared" si="6"/>
        <v/>
      </c>
      <c r="S71" s="160"/>
      <c r="T71" s="160"/>
      <c r="U71" s="160"/>
      <c r="V71" s="160"/>
      <c r="W71" s="161"/>
    </row>
    <row r="72" spans="1:23">
      <c r="A72" s="29">
        <v>21</v>
      </c>
      <c r="B72" s="159" t="str">
        <f t="shared" si="3"/>
        <v/>
      </c>
      <c r="C72" s="160"/>
      <c r="D72" s="160"/>
      <c r="E72" s="160"/>
      <c r="F72" s="161"/>
      <c r="G72" s="159" t="str">
        <f t="shared" si="5"/>
        <v/>
      </c>
      <c r="H72" s="160"/>
      <c r="I72" s="160"/>
      <c r="J72" s="160"/>
      <c r="K72" s="160"/>
      <c r="L72" s="161"/>
      <c r="M72" s="159" t="str">
        <f t="shared" si="4"/>
        <v/>
      </c>
      <c r="N72" s="160"/>
      <c r="O72" s="160"/>
      <c r="P72" s="160"/>
      <c r="Q72" s="161"/>
      <c r="R72" s="159" t="str">
        <f t="shared" si="6"/>
        <v/>
      </c>
      <c r="S72" s="160"/>
      <c r="T72" s="160"/>
      <c r="U72" s="160"/>
      <c r="V72" s="160"/>
      <c r="W72" s="161"/>
    </row>
    <row r="73" spans="1:23">
      <c r="A73" s="29">
        <v>22</v>
      </c>
      <c r="B73" s="159" t="str">
        <f t="shared" si="3"/>
        <v/>
      </c>
      <c r="C73" s="160"/>
      <c r="D73" s="160"/>
      <c r="E73" s="160"/>
      <c r="F73" s="161"/>
      <c r="G73" s="159" t="str">
        <f t="shared" si="5"/>
        <v/>
      </c>
      <c r="H73" s="160"/>
      <c r="I73" s="160"/>
      <c r="J73" s="160"/>
      <c r="K73" s="160"/>
      <c r="L73" s="161"/>
      <c r="M73" s="159" t="str">
        <f t="shared" si="4"/>
        <v/>
      </c>
      <c r="N73" s="160"/>
      <c r="O73" s="160"/>
      <c r="P73" s="160"/>
      <c r="Q73" s="161"/>
      <c r="R73" s="159" t="str">
        <f t="shared" si="6"/>
        <v/>
      </c>
      <c r="S73" s="160"/>
      <c r="T73" s="160"/>
      <c r="U73" s="160"/>
      <c r="V73" s="160"/>
      <c r="W73" s="161"/>
    </row>
    <row r="74" spans="1:23">
      <c r="A74" s="29">
        <v>23</v>
      </c>
      <c r="B74" s="159" t="str">
        <f t="shared" si="3"/>
        <v/>
      </c>
      <c r="C74" s="160"/>
      <c r="D74" s="160"/>
      <c r="E74" s="160"/>
      <c r="F74" s="161"/>
      <c r="G74" s="159" t="str">
        <f t="shared" si="5"/>
        <v/>
      </c>
      <c r="H74" s="160"/>
      <c r="I74" s="160"/>
      <c r="J74" s="160"/>
      <c r="K74" s="160"/>
      <c r="L74" s="161"/>
      <c r="M74" s="159" t="str">
        <f t="shared" si="4"/>
        <v/>
      </c>
      <c r="N74" s="160"/>
      <c r="O74" s="160"/>
      <c r="P74" s="160"/>
      <c r="Q74" s="161"/>
      <c r="R74" s="159" t="str">
        <f t="shared" si="6"/>
        <v/>
      </c>
      <c r="S74" s="160"/>
      <c r="T74" s="160"/>
      <c r="U74" s="160"/>
      <c r="V74" s="160"/>
      <c r="W74" s="161"/>
    </row>
    <row r="75" spans="1:23">
      <c r="A75" s="29">
        <v>24</v>
      </c>
      <c r="B75" s="159" t="str">
        <f t="shared" si="3"/>
        <v/>
      </c>
      <c r="C75" s="160"/>
      <c r="D75" s="160"/>
      <c r="E75" s="160"/>
      <c r="F75" s="161"/>
      <c r="G75" s="159" t="str">
        <f t="shared" si="5"/>
        <v/>
      </c>
      <c r="H75" s="160"/>
      <c r="I75" s="160"/>
      <c r="J75" s="160"/>
      <c r="K75" s="160"/>
      <c r="L75" s="161"/>
      <c r="M75" s="159" t="str">
        <f t="shared" si="4"/>
        <v/>
      </c>
      <c r="N75" s="160"/>
      <c r="O75" s="160"/>
      <c r="P75" s="160"/>
      <c r="Q75" s="161"/>
      <c r="R75" s="159" t="str">
        <f t="shared" si="6"/>
        <v/>
      </c>
      <c r="S75" s="160"/>
      <c r="T75" s="160"/>
      <c r="U75" s="160"/>
      <c r="V75" s="160"/>
      <c r="W75" s="161"/>
    </row>
    <row r="76" spans="1:23">
      <c r="A76" s="29">
        <v>25</v>
      </c>
      <c r="B76" s="159" t="str">
        <f t="shared" si="3"/>
        <v/>
      </c>
      <c r="C76" s="160"/>
      <c r="D76" s="160"/>
      <c r="E76" s="160"/>
      <c r="F76" s="161"/>
      <c r="G76" s="159" t="str">
        <f t="shared" si="5"/>
        <v/>
      </c>
      <c r="H76" s="160"/>
      <c r="I76" s="160"/>
      <c r="J76" s="160"/>
      <c r="K76" s="160"/>
      <c r="L76" s="161"/>
      <c r="M76" s="159" t="str">
        <f t="shared" si="4"/>
        <v/>
      </c>
      <c r="N76" s="160"/>
      <c r="O76" s="160"/>
      <c r="P76" s="160"/>
      <c r="Q76" s="161"/>
      <c r="R76" s="159" t="str">
        <f t="shared" si="6"/>
        <v/>
      </c>
      <c r="S76" s="160"/>
      <c r="T76" s="160"/>
      <c r="U76" s="160"/>
      <c r="V76" s="160"/>
      <c r="W76" s="161"/>
    </row>
    <row r="77" spans="1:23">
      <c r="A77" s="29">
        <v>26</v>
      </c>
      <c r="B77" s="159" t="str">
        <f t="shared" si="3"/>
        <v/>
      </c>
      <c r="C77" s="160"/>
      <c r="D77" s="160"/>
      <c r="E77" s="160"/>
      <c r="F77" s="161"/>
      <c r="G77" s="159" t="str">
        <f t="shared" si="5"/>
        <v/>
      </c>
      <c r="H77" s="160"/>
      <c r="I77" s="160"/>
      <c r="J77" s="160"/>
      <c r="K77" s="160"/>
      <c r="L77" s="161"/>
      <c r="M77" s="159" t="str">
        <f t="shared" si="4"/>
        <v/>
      </c>
      <c r="N77" s="160"/>
      <c r="O77" s="160"/>
      <c r="P77" s="160"/>
      <c r="Q77" s="161"/>
      <c r="R77" s="159" t="str">
        <f t="shared" si="6"/>
        <v/>
      </c>
      <c r="S77" s="160"/>
      <c r="T77" s="160"/>
      <c r="U77" s="160"/>
      <c r="V77" s="160"/>
      <c r="W77" s="161"/>
    </row>
    <row r="78" spans="1:23">
      <c r="A78" s="29">
        <v>27</v>
      </c>
      <c r="B78" s="159" t="str">
        <f t="shared" si="3"/>
        <v/>
      </c>
      <c r="C78" s="160"/>
      <c r="D78" s="160"/>
      <c r="E78" s="160"/>
      <c r="F78" s="161"/>
      <c r="G78" s="159" t="str">
        <f t="shared" si="5"/>
        <v/>
      </c>
      <c r="H78" s="160"/>
      <c r="I78" s="160"/>
      <c r="J78" s="160"/>
      <c r="K78" s="160"/>
      <c r="L78" s="161"/>
      <c r="M78" s="159" t="str">
        <f t="shared" si="4"/>
        <v/>
      </c>
      <c r="N78" s="160"/>
      <c r="O78" s="160"/>
      <c r="P78" s="160"/>
      <c r="Q78" s="161"/>
      <c r="R78" s="159" t="str">
        <f t="shared" si="6"/>
        <v/>
      </c>
      <c r="S78" s="160"/>
      <c r="T78" s="160"/>
      <c r="U78" s="160"/>
      <c r="V78" s="160"/>
      <c r="W78" s="161"/>
    </row>
    <row r="79" spans="1:23">
      <c r="A79" s="29">
        <v>28</v>
      </c>
      <c r="B79" s="159" t="str">
        <f t="shared" si="3"/>
        <v/>
      </c>
      <c r="C79" s="160"/>
      <c r="D79" s="160"/>
      <c r="E79" s="160"/>
      <c r="F79" s="161"/>
      <c r="G79" s="159" t="str">
        <f t="shared" si="5"/>
        <v/>
      </c>
      <c r="H79" s="160"/>
      <c r="I79" s="160"/>
      <c r="J79" s="160"/>
      <c r="K79" s="160"/>
      <c r="L79" s="161"/>
      <c r="M79" s="159" t="str">
        <f t="shared" si="4"/>
        <v/>
      </c>
      <c r="N79" s="160"/>
      <c r="O79" s="160"/>
      <c r="P79" s="160"/>
      <c r="Q79" s="161"/>
      <c r="R79" s="159" t="str">
        <f t="shared" si="6"/>
        <v/>
      </c>
      <c r="S79" s="160"/>
      <c r="T79" s="160"/>
      <c r="U79" s="160"/>
      <c r="V79" s="160"/>
      <c r="W79" s="161"/>
    </row>
    <row r="80" spans="1:23">
      <c r="A80" s="29">
        <v>29</v>
      </c>
      <c r="B80" s="159" t="str">
        <f t="shared" si="3"/>
        <v/>
      </c>
      <c r="C80" s="160"/>
      <c r="D80" s="160"/>
      <c r="E80" s="160"/>
      <c r="F80" s="161"/>
      <c r="G80" s="159" t="str">
        <f t="shared" si="5"/>
        <v/>
      </c>
      <c r="H80" s="160"/>
      <c r="I80" s="160"/>
      <c r="J80" s="160"/>
      <c r="K80" s="160"/>
      <c r="L80" s="161"/>
      <c r="M80" s="159" t="str">
        <f t="shared" si="4"/>
        <v/>
      </c>
      <c r="N80" s="160"/>
      <c r="O80" s="160"/>
      <c r="P80" s="160"/>
      <c r="Q80" s="161"/>
      <c r="R80" s="159" t="str">
        <f t="shared" si="6"/>
        <v/>
      </c>
      <c r="S80" s="160"/>
      <c r="T80" s="160"/>
      <c r="U80" s="160"/>
      <c r="V80" s="160"/>
      <c r="W80" s="161"/>
    </row>
    <row r="81" spans="1:23">
      <c r="A81" s="29">
        <v>30</v>
      </c>
      <c r="B81" s="159" t="str">
        <f t="shared" si="3"/>
        <v/>
      </c>
      <c r="C81" s="160"/>
      <c r="D81" s="160"/>
      <c r="E81" s="160"/>
      <c r="F81" s="161"/>
      <c r="G81" s="159" t="str">
        <f t="shared" si="5"/>
        <v/>
      </c>
      <c r="H81" s="160"/>
      <c r="I81" s="160"/>
      <c r="J81" s="160"/>
      <c r="K81" s="160"/>
      <c r="L81" s="161"/>
      <c r="M81" s="159" t="str">
        <f t="shared" si="4"/>
        <v/>
      </c>
      <c r="N81" s="160"/>
      <c r="O81" s="160"/>
      <c r="P81" s="160"/>
      <c r="Q81" s="161"/>
      <c r="R81" s="159" t="str">
        <f t="shared" si="6"/>
        <v/>
      </c>
      <c r="S81" s="160"/>
      <c r="T81" s="160"/>
      <c r="U81" s="160"/>
      <c r="V81" s="160"/>
      <c r="W81" s="161"/>
    </row>
    <row r="82" spans="1:23">
      <c r="A82" s="29">
        <v>31</v>
      </c>
      <c r="B82" s="159" t="str">
        <f t="shared" si="3"/>
        <v/>
      </c>
      <c r="C82" s="160"/>
      <c r="D82" s="160"/>
      <c r="E82" s="160"/>
      <c r="F82" s="161"/>
      <c r="G82" s="159" t="str">
        <f t="shared" si="5"/>
        <v/>
      </c>
      <c r="H82" s="160"/>
      <c r="I82" s="160"/>
      <c r="J82" s="160"/>
      <c r="K82" s="160"/>
      <c r="L82" s="161"/>
      <c r="M82" s="159" t="str">
        <f t="shared" si="4"/>
        <v/>
      </c>
      <c r="N82" s="160"/>
      <c r="O82" s="160"/>
      <c r="P82" s="160"/>
      <c r="Q82" s="161"/>
      <c r="R82" s="159" t="str">
        <f t="shared" si="6"/>
        <v/>
      </c>
      <c r="S82" s="160"/>
      <c r="T82" s="160"/>
      <c r="U82" s="160"/>
      <c r="V82" s="160"/>
      <c r="W82" s="161"/>
    </row>
  </sheetData>
  <mergeCells count="190">
    <mergeCell ref="M80:Q80"/>
    <mergeCell ref="R80:W80"/>
    <mergeCell ref="M81:Q81"/>
    <mergeCell ref="R81:W81"/>
    <mergeCell ref="M82:Q82"/>
    <mergeCell ref="R82:W82"/>
    <mergeCell ref="M77:Q77"/>
    <mergeCell ref="R77:W77"/>
    <mergeCell ref="M78:Q78"/>
    <mergeCell ref="R78:W78"/>
    <mergeCell ref="M79:Q79"/>
    <mergeCell ref="R79:W79"/>
    <mergeCell ref="M74:Q74"/>
    <mergeCell ref="R74:W74"/>
    <mergeCell ref="M75:Q75"/>
    <mergeCell ref="R75:W75"/>
    <mergeCell ref="M76:Q76"/>
    <mergeCell ref="R76:W76"/>
    <mergeCell ref="M71:Q71"/>
    <mergeCell ref="R71:W71"/>
    <mergeCell ref="M72:Q72"/>
    <mergeCell ref="R72:W72"/>
    <mergeCell ref="M73:Q73"/>
    <mergeCell ref="R73:W73"/>
    <mergeCell ref="M68:Q68"/>
    <mergeCell ref="R68:W68"/>
    <mergeCell ref="M69:Q69"/>
    <mergeCell ref="R69:W69"/>
    <mergeCell ref="M70:Q70"/>
    <mergeCell ref="R70:W70"/>
    <mergeCell ref="M65:Q65"/>
    <mergeCell ref="R65:W65"/>
    <mergeCell ref="M66:Q66"/>
    <mergeCell ref="R66:W66"/>
    <mergeCell ref="M67:Q67"/>
    <mergeCell ref="R67:W67"/>
    <mergeCell ref="M62:Q62"/>
    <mergeCell ref="R62:W62"/>
    <mergeCell ref="M63:Q63"/>
    <mergeCell ref="R63:W63"/>
    <mergeCell ref="M64:Q64"/>
    <mergeCell ref="R64:W64"/>
    <mergeCell ref="M59:Q59"/>
    <mergeCell ref="R59:W59"/>
    <mergeCell ref="M60:Q60"/>
    <mergeCell ref="R60:W60"/>
    <mergeCell ref="M61:Q61"/>
    <mergeCell ref="R61:W61"/>
    <mergeCell ref="M56:Q56"/>
    <mergeCell ref="R56:W56"/>
    <mergeCell ref="M57:Q57"/>
    <mergeCell ref="R57:W57"/>
    <mergeCell ref="M58:Q58"/>
    <mergeCell ref="R58:W58"/>
    <mergeCell ref="M53:Q53"/>
    <mergeCell ref="R53:W53"/>
    <mergeCell ref="M54:Q54"/>
    <mergeCell ref="R54:W54"/>
    <mergeCell ref="M55:Q55"/>
    <mergeCell ref="R55:W55"/>
    <mergeCell ref="M50:W50"/>
    <mergeCell ref="M51:Q51"/>
    <mergeCell ref="R51:W51"/>
    <mergeCell ref="M52:Q52"/>
    <mergeCell ref="R52:W52"/>
    <mergeCell ref="B80:F80"/>
    <mergeCell ref="G80:L80"/>
    <mergeCell ref="B81:F81"/>
    <mergeCell ref="G81:L81"/>
    <mergeCell ref="B82:F82"/>
    <mergeCell ref="G82:L82"/>
    <mergeCell ref="B77:F77"/>
    <mergeCell ref="G77:L77"/>
    <mergeCell ref="B78:F78"/>
    <mergeCell ref="G78:L78"/>
    <mergeCell ref="B79:F79"/>
    <mergeCell ref="G79:L79"/>
    <mergeCell ref="B74:F74"/>
    <mergeCell ref="G74:L74"/>
    <mergeCell ref="B75:F75"/>
    <mergeCell ref="G75:L75"/>
    <mergeCell ref="B76:F76"/>
    <mergeCell ref="G76:L76"/>
    <mergeCell ref="B71:F71"/>
    <mergeCell ref="G71:L71"/>
    <mergeCell ref="B72:F72"/>
    <mergeCell ref="G72:L72"/>
    <mergeCell ref="B73:F73"/>
    <mergeCell ref="G73:L73"/>
    <mergeCell ref="B68:F68"/>
    <mergeCell ref="G68:L68"/>
    <mergeCell ref="B69:F69"/>
    <mergeCell ref="G69:L69"/>
    <mergeCell ref="B70:F70"/>
    <mergeCell ref="G70:L70"/>
    <mergeCell ref="B65:F65"/>
    <mergeCell ref="G65:L65"/>
    <mergeCell ref="B66:F66"/>
    <mergeCell ref="G66:L66"/>
    <mergeCell ref="B67:F67"/>
    <mergeCell ref="G67:L67"/>
    <mergeCell ref="B62:F62"/>
    <mergeCell ref="G62:L62"/>
    <mergeCell ref="B63:F63"/>
    <mergeCell ref="G63:L63"/>
    <mergeCell ref="B64:F64"/>
    <mergeCell ref="G64:L64"/>
    <mergeCell ref="B59:F59"/>
    <mergeCell ref="G59:L59"/>
    <mergeCell ref="B60:F60"/>
    <mergeCell ref="G60:L60"/>
    <mergeCell ref="B61:F61"/>
    <mergeCell ref="G61:L61"/>
    <mergeCell ref="B56:F56"/>
    <mergeCell ref="G56:L56"/>
    <mergeCell ref="B57:F57"/>
    <mergeCell ref="G57:L57"/>
    <mergeCell ref="B58:F58"/>
    <mergeCell ref="G58:L58"/>
    <mergeCell ref="B53:F53"/>
    <mergeCell ref="G53:L53"/>
    <mergeCell ref="B54:F54"/>
    <mergeCell ref="G54:L54"/>
    <mergeCell ref="B55:F55"/>
    <mergeCell ref="G55:L55"/>
    <mergeCell ref="A50:L50"/>
    <mergeCell ref="B51:F51"/>
    <mergeCell ref="G51:L51"/>
    <mergeCell ref="B52:F52"/>
    <mergeCell ref="G52:L52"/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4:L4"/>
    <mergeCell ref="A5:B5"/>
    <mergeCell ref="C5:D5"/>
    <mergeCell ref="E5:F5"/>
    <mergeCell ref="G5:H5"/>
    <mergeCell ref="J5:L5"/>
    <mergeCell ref="A3:B3"/>
    <mergeCell ref="C3:D3"/>
    <mergeCell ref="F3:H3"/>
    <mergeCell ref="A4:B4"/>
    <mergeCell ref="C4:D4"/>
    <mergeCell ref="F4:H4"/>
    <mergeCell ref="A1:B1"/>
    <mergeCell ref="C1:D1"/>
    <mergeCell ref="E1:E2"/>
    <mergeCell ref="F1:H2"/>
    <mergeCell ref="A2:B2"/>
    <mergeCell ref="C2:D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400050</xdr:colOff>
                    <xdr:row>0</xdr:row>
                    <xdr:rowOff>19050</xdr:rowOff>
                  </from>
                  <to>
                    <xdr:col>14</xdr:col>
                    <xdr:colOff>400050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machine</vt:lpstr>
      <vt:lpstr>employee</vt:lpstr>
      <vt:lpstr>Production</vt:lpstr>
      <vt:lpstr>Todo</vt:lpstr>
      <vt:lpstr>ProductionList</vt:lpstr>
      <vt:lpstr>ProductionListByMachine</vt:lpstr>
      <vt:lpstr>ProductionPlan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jylee</dc:creator>
  <cp:lastModifiedBy>GD6</cp:lastModifiedBy>
  <dcterms:created xsi:type="dcterms:W3CDTF">2015-05-10T10:41:37Z</dcterms:created>
  <dcterms:modified xsi:type="dcterms:W3CDTF">2019-10-21T09:24:45Z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5a60e271-1f83-48c4-8dbe-c9321e6dc82c</vt:lpwstr>
  </property>
</Properties>
</file>